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showInkAnnotation="0" codeName="BuÇalışmaKitabı"/>
  <mc:AlternateContent xmlns:mc="http://schemas.openxmlformats.org/markup-compatibility/2006">
    <mc:Choice Requires="x15">
      <x15ac:absPath xmlns:x15ac="http://schemas.microsoft.com/office/spreadsheetml/2010/11/ac" url="D:\MehmetDurmaz\"/>
    </mc:Choice>
  </mc:AlternateContent>
  <xr:revisionPtr revIDLastSave="0" documentId="13_ncr:1_{A7458033-76B1-4708-9606-41FDE90CB56F}" xr6:coauthVersionLast="47" xr6:coauthVersionMax="47" xr10:uidLastSave="{00000000-0000-0000-0000-000000000000}"/>
  <bookViews>
    <workbookView xWindow="28680" yWindow="-120" windowWidth="29040" windowHeight="17520" xr2:uid="{00000000-000D-0000-FFFF-FFFF00000000}"/>
  </bookViews>
  <sheets>
    <sheet name="Kivam" sheetId="4" r:id="rId1"/>
    <sheet name="Listeler" sheetId="6" state="hidden" r:id="rId2"/>
    <sheet name="Grafik3N" sheetId="5" state="hidden" r:id="rId3"/>
    <sheet name="Grafik4N" sheetId="7" state="hidden" r:id="rId4"/>
  </sheets>
  <definedNames>
    <definedName name="baslik1">Kivam!$C$11</definedName>
    <definedName name="baslik2">Kivam!$E$11</definedName>
    <definedName name="baslik3">Kivam!$G$11</definedName>
    <definedName name="baslik4">Kivam!$I$11</definedName>
    <definedName name="baslik5">Kivam!$K$11</definedName>
    <definedName name="baslik6">Kivam!$L$11</definedName>
    <definedName name="coeff_b">Kivam!$Q$27</definedName>
    <definedName name="coeff_c">Kivam!$Q$26</definedName>
    <definedName name="coeff_e">Kivam!$Q$28</definedName>
    <definedName name="grafik_altlimit">Kivam!$P$30</definedName>
    <definedName name="grafik_ustlimit">Kivam!$Q$30</definedName>
    <definedName name="korelasyon_hesap">Kivam!$O$15</definedName>
    <definedName name="likitlimit">Kivam!$G$16</definedName>
    <definedName name="LLOB">Listeler!$F$1</definedName>
    <definedName name="logaritmik_hesap">Kivam!$O$30</definedName>
    <definedName name="metot">Kivam!$O$31</definedName>
    <definedName name="plastiklimit">Kivam!$G$17</definedName>
    <definedName name="plastisiteindisi">Kivam!$G$18</definedName>
    <definedName name="PLOB">Listeler!$F$2</definedName>
    <definedName name="_xlnm.Print_Area" localSheetId="0">Kivam!$A$1:$L$34</definedName>
    <definedName name="suicerikleri">Kivam!$C$13:$J$13</definedName>
    <definedName name="suicerikleri3">Kivam!$C$13:$H$13</definedName>
    <definedName name="vurus1">Kivam!$C$12</definedName>
    <definedName name="vurus2">Kivam!$E$12</definedName>
    <definedName name="vurus3">Kivam!$G$12</definedName>
    <definedName name="vurus4">Kivam!$I$12</definedName>
    <definedName name="vuruslar">Kivam!$C$12:$J$12</definedName>
    <definedName name="vuruslar3">Kivam!$C$12:$H$12</definedName>
    <definedName name="water1">Kivam!$C$13</definedName>
    <definedName name="water2">Kivam!$E$13</definedName>
    <definedName name="water3">Kivam!$G$13</definedName>
    <definedName name="water4">Kivam!$I$13</definedName>
    <definedName name="water5">Kivam!$K$13</definedName>
    <definedName name="water6">Kivam!$L$13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0" i="4" l="1"/>
  <c r="P30" i="4"/>
  <c r="P24" i="4"/>
  <c r="O24" i="4"/>
  <c r="O15" i="4"/>
  <c r="I17" i="4"/>
  <c r="I16" i="4"/>
  <c r="Q28" i="4" l="1"/>
  <c r="P23" i="4"/>
  <c r="O23" i="4"/>
  <c r="P22" i="4"/>
  <c r="O22" i="4"/>
  <c r="P21" i="4"/>
  <c r="O21" i="4"/>
  <c r="C10" i="4"/>
  <c r="G7" i="4"/>
  <c r="Q27" i="4" l="1"/>
  <c r="Q26" i="4" a="1"/>
  <c r="Q26" i="4" s="1"/>
  <c r="O30" i="4" s="1"/>
  <c r="Q24" i="4" l="1"/>
  <c r="G16" i="4" l="1"/>
  <c r="Q22" i="4" l="1"/>
  <c r="Q21" i="4"/>
  <c r="Q23" i="4"/>
  <c r="H16" i="4"/>
  <c r="G17" i="4"/>
  <c r="H17" i="4" s="1"/>
  <c r="G18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<sst xmlns="http://schemas.openxmlformats.org/spreadsheetml/2006/main" count="88" uniqueCount="82">
  <si>
    <t>Kurutma Şekli</t>
  </si>
  <si>
    <t>LL-1</t>
  </si>
  <si>
    <t>LL-2</t>
  </si>
  <si>
    <t>LL-3</t>
  </si>
  <si>
    <t>PL-1</t>
  </si>
  <si>
    <t>PL-2</t>
  </si>
  <si>
    <t>Numune Kabul Tarihi</t>
  </si>
  <si>
    <t>Parametreler</t>
  </si>
  <si>
    <t>Not:</t>
  </si>
  <si>
    <t>LL1</t>
  </si>
  <si>
    <t>LL2</t>
  </si>
  <si>
    <t>LL3</t>
  </si>
  <si>
    <t>Vuruş Sayısı (N)</t>
  </si>
  <si>
    <t>Doğal</t>
  </si>
  <si>
    <t>Bilinmiyor</t>
  </si>
  <si>
    <t>Odada Kurutulmuş</t>
  </si>
  <si>
    <t>Etüvde Kurutulmuş</t>
  </si>
  <si>
    <t>Standart</t>
  </si>
  <si>
    <t>B01.ARŞ.TS.036 LİKİT LİMİT (CASSAGRANDE) ALETİ</t>
  </si>
  <si>
    <t>B01.ARŞ.TS.040 ETÜV</t>
  </si>
  <si>
    <t>Deney Adı</t>
  </si>
  <si>
    <t>Formül</t>
  </si>
  <si>
    <t>Sonuç</t>
  </si>
  <si>
    <t>AASHTO T89-A</t>
  </si>
  <si>
    <t xml:space="preserve"> AASHTO T90</t>
  </si>
  <si>
    <t>-</t>
  </si>
  <si>
    <t>Doküman No</t>
  </si>
  <si>
    <t>Yayın Tarihi</t>
  </si>
  <si>
    <t>Revizyon No</t>
  </si>
  <si>
    <t>Revizyon Tarihi</t>
  </si>
  <si>
    <t>B01.ARŞ.TS.T.55-FR.03</t>
  </si>
  <si>
    <t>LİKİT LİMİT ve PLASTİK LİMİT-PLASTİSİTE İNDEKSİ DENEY SONUÇLARI</t>
  </si>
  <si>
    <t>Kullanılan Aletler</t>
  </si>
  <si>
    <t>FORMÜL</t>
  </si>
  <si>
    <t>SU İÇERİĞİ-X</t>
  </si>
  <si>
    <t>VURUŞ-Y</t>
  </si>
  <si>
    <t>PARAM</t>
  </si>
  <si>
    <t>DENEYİ YAPAN</t>
  </si>
  <si>
    <t>KONTROL EDEN</t>
  </si>
  <si>
    <t>Ad Soyad / Unvan / Tarih / İmza</t>
  </si>
  <si>
    <t>***</t>
  </si>
  <si>
    <t>beyan edilen ölçüm belirsizliği k=2 için, %95 güven aralığında genişletilmiş belirsizliktir.</t>
  </si>
  <si>
    <t xml:space="preserve">B01.ARŞ.TS.004 DİJİTAL TERAZİ </t>
  </si>
  <si>
    <t>VURUŞ TREND</t>
  </si>
  <si>
    <t>Su İçeriği, (w)</t>
  </si>
  <si>
    <t>ÜSTEL TREND HESABI</t>
  </si>
  <si>
    <t>y = c *e ^(b * x)</t>
  </si>
  <si>
    <t>e</t>
  </si>
  <si>
    <t>c</t>
  </si>
  <si>
    <t>b</t>
  </si>
  <si>
    <t>ÜS(İNDİS(DOT(LN(y),x),1,2))</t>
  </si>
  <si>
    <t>İNDİS(DOT(LN(y),x),1)</t>
  </si>
  <si>
    <t>ÜS(1)</t>
  </si>
  <si>
    <t>x=log((25/c);e)/b</t>
  </si>
  <si>
    <t>TS EN ISO 17892-12</t>
  </si>
  <si>
    <t>Arazi No:</t>
  </si>
  <si>
    <t>Km:</t>
  </si>
  <si>
    <t>Derinlik / Mevkii</t>
  </si>
  <si>
    <t>Malzeme Cinsi:</t>
  </si>
  <si>
    <t>Lab No:</t>
  </si>
  <si>
    <t>Başlama Tarihi</t>
  </si>
  <si>
    <t>Bitiş Tarihi</t>
  </si>
  <si>
    <t>B01.ARŞ.TS.054 OLUK AÇMA BIÇAĞI (DÜZ)</t>
  </si>
  <si>
    <t>B01.ARŞ.TS.055 OLUK AÇMA BIÇAĞI (KURP)</t>
  </si>
  <si>
    <t>TS EN ISO 17892-12, Cassagrande, Tek Nokta</t>
  </si>
  <si>
    <t>AASHTO T89-A, Cassagrande, Üç Nokta ve AASHTO T90</t>
  </si>
  <si>
    <t>Kullanılan Metot</t>
  </si>
  <si>
    <t>AltLimit</t>
  </si>
  <si>
    <t>ÜstLimit</t>
  </si>
  <si>
    <t>Korelasyon ile Hesabı ve yuvarlama</t>
  </si>
  <si>
    <t>Likit Limit %</t>
  </si>
  <si>
    <t>Plastik Limit %</t>
  </si>
  <si>
    <t>Plastisite İndisi %</t>
  </si>
  <si>
    <t>Malzemeye ait bilgiler B01.ARŞ.TS.T.55-FR-01 no'lu formda verilmektedir.</t>
  </si>
  <si>
    <t xml:space="preserve">B01.ARŞ.TS.036 LİKİT LİMİT (CASSAGRANDE) ALETİ, B01.ARŞ.TS.054 OLUK AÇMA BIÇAĞI (DÜZ), B01.ARŞ.TS.040 ETÜV, B01.ARŞ.TS.004 DİJİTAL TERAZİ </t>
  </si>
  <si>
    <t>&lt;- LLÖB</t>
  </si>
  <si>
    <t>&lt;- PI ÖB</t>
  </si>
  <si>
    <t>TS EN ISO 17892-12, Cassagrande, Dört Nokta</t>
  </si>
  <si>
    <t>LL-4</t>
  </si>
  <si>
    <t>LL4</t>
  </si>
  <si>
    <t>Üç/Dört nokta için değerleri girdikten sonra grafiğin üzerine tek tıklayın</t>
  </si>
  <si>
    <t>Mehmet DURMAZ ©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</si>
</sst>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;;"/>
    <numFmt numFmtId="165" formatCode="0.0"/>
    <numFmt numFmtId="166" formatCode="0;;"/>
    <numFmt numFmtId="167" formatCode="0.00000;;"/>
    <numFmt numFmtId="168" formatCode="dd/mm/yyyy;@"/>
    <numFmt numFmtId="169" formatCode="0.0;;"/>
    <numFmt numFmtId="170" formatCode="0.00000"/>
  </numFmts>
  <fonts count="28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theme="1"/>
      <name val="Calibri Light"/>
      <family val="1"/>
      <charset val="162"/>
      <scheme val="major"/>
    </font>
    <font>
      <sz val="14"/>
      <color theme="1"/>
      <name val="Calibri Light"/>
      <family val="1"/>
      <charset val="162"/>
      <scheme val="major"/>
    </font>
    <font>
      <sz val="10"/>
      <color theme="1"/>
      <name val="Calibri Light"/>
      <family val="1"/>
      <charset val="162"/>
      <scheme val="major"/>
    </font>
    <font>
      <sz val="9"/>
      <color theme="1"/>
      <name val="Arial"/>
      <family val="2"/>
      <charset val="162"/>
    </font>
    <font>
      <b/>
      <sz val="9"/>
      <color theme="1"/>
      <name val="Arial"/>
      <family val="2"/>
      <charset val="162"/>
    </font>
    <font>
      <sz val="9"/>
      <color theme="1"/>
      <name val="Calibri"/>
      <family val="2"/>
      <scheme val="minor"/>
    </font>
    <font>
      <b/>
      <sz val="18"/>
      <color theme="1"/>
      <name val="Calibri Light"/>
      <family val="2"/>
      <charset val="162"/>
      <scheme val="major"/>
    </font>
    <font>
      <b/>
      <sz val="10"/>
      <color theme="1"/>
      <name val="Arial"/>
      <family val="2"/>
      <charset val="162"/>
    </font>
    <font>
      <sz val="10"/>
      <color theme="1"/>
      <name val="Arial"/>
      <family val="2"/>
      <charset val="162"/>
    </font>
    <font>
      <b/>
      <sz val="12"/>
      <color theme="1"/>
      <name val="Arial"/>
      <family val="2"/>
      <charset val="162"/>
    </font>
    <font>
      <b/>
      <sz val="18"/>
      <color theme="3"/>
      <name val="Calibri Light"/>
      <family val="2"/>
      <scheme val="major"/>
    </font>
    <font>
      <b/>
      <sz val="11"/>
      <color theme="1"/>
      <name val="Arial"/>
      <family val="2"/>
      <charset val="162"/>
    </font>
    <font>
      <sz val="14"/>
      <color theme="1"/>
      <name val="Arial"/>
      <family val="2"/>
      <charset val="162"/>
    </font>
    <font>
      <sz val="16"/>
      <color theme="1"/>
      <name val="Arial"/>
      <family val="2"/>
      <charset val="162"/>
    </font>
    <font>
      <b/>
      <sz val="10"/>
      <color rgb="FFFFFFFF"/>
      <name val="Arial"/>
      <family val="2"/>
      <charset val="162"/>
    </font>
    <font>
      <sz val="9"/>
      <name val="Calibri"/>
      <family val="2"/>
      <scheme val="minor"/>
    </font>
    <font>
      <b/>
      <sz val="11"/>
      <color rgb="FFFF0000"/>
      <name val="Calibri Light"/>
      <family val="2"/>
      <charset val="162"/>
      <scheme val="major"/>
    </font>
    <font>
      <sz val="11"/>
      <color theme="1"/>
      <name val="Calibri"/>
      <family val="2"/>
      <charset val="162"/>
      <scheme val="minor"/>
    </font>
    <font>
      <sz val="11"/>
      <color theme="1" tint="0.249977111117893"/>
      <name val="Calibri Light"/>
      <family val="1"/>
      <charset val="162"/>
      <scheme val="major"/>
    </font>
    <font>
      <sz val="10"/>
      <name val="Arial"/>
      <family val="2"/>
      <charset val="162"/>
    </font>
    <font>
      <sz val="8"/>
      <color theme="1"/>
      <name val="Arial"/>
      <family val="2"/>
      <charset val="162"/>
    </font>
    <font>
      <b/>
      <sz val="10"/>
      <color rgb="FF000000"/>
      <name val="Arial"/>
      <family val="2"/>
      <charset val="162"/>
    </font>
    <font>
      <sz val="10"/>
      <color rgb="FF000000"/>
      <name val="Arial"/>
      <family val="2"/>
      <charset val="162"/>
    </font>
    <font>
      <sz val="8"/>
      <name val="Calibri"/>
      <family val="2"/>
      <charset val="162"/>
      <scheme val="minor"/>
    </font>
    <font>
      <sz val="10"/>
      <color rgb="FFFFFFFF"/>
      <name val="Arial"/>
      <family val="2"/>
      <charset val="162"/>
    </font>
    <font>
      <sz val="12"/>
      <color theme="0" tint="-0.249977111117893"/>
      <name val="Calibri Light"/>
      <family val="1"/>
      <charset val="162"/>
      <scheme val="major"/>
    </font>
  </fonts>
  <fills count="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thin">
        <color indexed="64"/>
      </diagonal>
    </border>
  </borders>
  <cellStyleXfs count="4">
    <xf numFmtId="0" fontId="0" fillId="0" borderId="0"/>
    <xf numFmtId="0" fontId="1" fillId="0" borderId="0"/>
    <xf numFmtId="0" fontId="12" fillId="0" borderId="0" applyNumberFormat="0" applyFill="0" applyBorder="0" applyAlignment="0" applyProtection="0"/>
    <xf numFmtId="9" fontId="19" fillId="0" borderId="0" applyFont="0" applyFill="0" applyBorder="0" applyAlignment="0" applyProtection="0"/>
  </cellStyleXfs>
  <cellXfs count="149">
    <xf numFmtId="0" fontId="0" fillId="0" borderId="0" xfId="0"/>
    <xf numFmtId="0" fontId="2" fillId="0" borderId="0" xfId="1" applyFont="1" applyProtection="1"/>
    <xf numFmtId="0" fontId="2" fillId="0" borderId="0" xfId="1" applyFont="1" applyBorder="1" applyProtection="1"/>
    <xf numFmtId="0" fontId="4" fillId="0" borderId="0" xfId="1" applyFont="1" applyBorder="1" applyProtection="1"/>
    <xf numFmtId="0" fontId="2" fillId="0" borderId="4" xfId="1" applyNumberFormat="1" applyFont="1" applyBorder="1" applyProtection="1"/>
    <xf numFmtId="0" fontId="3" fillId="0" borderId="4" xfId="1" applyNumberFormat="1" applyFont="1" applyBorder="1" applyAlignment="1" applyProtection="1">
      <alignment vertical="center" wrapText="1"/>
    </xf>
    <xf numFmtId="0" fontId="6" fillId="0" borderId="0" xfId="1" applyNumberFormat="1" applyFont="1" applyBorder="1" applyAlignment="1" applyProtection="1">
      <alignment horizontal="left" vertical="center" wrapText="1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5" fillId="0" borderId="0" xfId="1" applyNumberFormat="1" applyFont="1" applyBorder="1" applyAlignment="1" applyProtection="1">
      <alignment vertical="center" wrapText="1"/>
    </xf>
    <xf numFmtId="0" fontId="2" fillId="0" borderId="0" xfId="1" applyNumberFormat="1" applyFont="1" applyBorder="1" applyProtection="1"/>
    <xf numFmtId="0" fontId="0" fillId="0" borderId="0" xfId="0" applyAlignment="1">
      <alignment wrapText="1"/>
    </xf>
    <xf numFmtId="0" fontId="8" fillId="0" borderId="1" xfId="1" applyNumberFormat="1" applyFont="1" applyBorder="1" applyAlignment="1" applyProtection="1">
      <alignment vertical="center" wrapText="1"/>
    </xf>
    <xf numFmtId="0" fontId="8" fillId="0" borderId="4" xfId="1" applyNumberFormat="1" applyFont="1" applyBorder="1" applyAlignment="1" applyProtection="1">
      <alignment vertical="center" wrapText="1"/>
    </xf>
    <xf numFmtId="0" fontId="8" fillId="0" borderId="7" xfId="1" applyNumberFormat="1" applyFont="1" applyBorder="1" applyAlignment="1" applyProtection="1">
      <alignment vertical="center" wrapText="1"/>
    </xf>
    <xf numFmtId="0" fontId="0" fillId="0" borderId="0" xfId="0" applyProtection="1"/>
    <xf numFmtId="0" fontId="0" fillId="0" borderId="0" xfId="0" applyAlignment="1" applyProtection="1">
      <alignment wrapText="1"/>
    </xf>
    <xf numFmtId="166" fontId="10" fillId="0" borderId="6" xfId="1" applyNumberFormat="1" applyFont="1" applyBorder="1" applyAlignment="1" applyProtection="1">
      <alignment horizontal="center" vertical="center" wrapText="1"/>
    </xf>
    <xf numFmtId="166" fontId="10" fillId="0" borderId="5" xfId="1" applyNumberFormat="1" applyFont="1" applyBorder="1" applyAlignment="1" applyProtection="1">
      <alignment horizontal="right" vertical="center" wrapText="1"/>
    </xf>
    <xf numFmtId="0" fontId="9" fillId="0" borderId="1" xfId="1" applyNumberFormat="1" applyFont="1" applyBorder="1" applyAlignment="1" applyProtection="1">
      <alignment vertical="center" wrapText="1"/>
    </xf>
    <xf numFmtId="0" fontId="10" fillId="0" borderId="7" xfId="1" applyNumberFormat="1" applyFont="1" applyBorder="1" applyAlignment="1" applyProtection="1">
      <alignment horizontal="right" vertical="top" wrapText="1"/>
    </xf>
    <xf numFmtId="167" fontId="10" fillId="0" borderId="0" xfId="1" applyNumberFormat="1" applyFont="1" applyBorder="1" applyAlignment="1" applyProtection="1">
      <alignment horizontal="center" vertical="center" wrapText="1"/>
    </xf>
    <xf numFmtId="0" fontId="14" fillId="0" borderId="12" xfId="1" applyNumberFormat="1" applyFont="1" applyBorder="1" applyAlignment="1" applyProtection="1">
      <alignment horizontal="center" vertical="center"/>
      <protection locked="0"/>
    </xf>
    <xf numFmtId="0" fontId="15" fillId="0" borderId="12" xfId="1" applyNumberFormat="1" applyFont="1" applyBorder="1" applyAlignment="1" applyProtection="1">
      <alignment horizontal="center" vertical="center"/>
      <protection locked="0"/>
    </xf>
    <xf numFmtId="0" fontId="7" fillId="0" borderId="1" xfId="1" applyNumberFormat="1" applyFont="1" applyBorder="1" applyAlignment="1" applyProtection="1">
      <alignment vertical="center"/>
    </xf>
    <xf numFmtId="0" fontId="7" fillId="0" borderId="2" xfId="1" applyNumberFormat="1" applyFont="1" applyBorder="1" applyAlignment="1" applyProtection="1">
      <alignment vertical="center"/>
    </xf>
    <xf numFmtId="0" fontId="7" fillId="0" borderId="3" xfId="1" applyNumberFormat="1" applyFont="1" applyBorder="1" applyAlignment="1" applyProtection="1">
      <alignment vertical="center"/>
    </xf>
    <xf numFmtId="0" fontId="7" fillId="0" borderId="4" xfId="1" applyNumberFormat="1" applyFont="1" applyBorder="1" applyAlignment="1" applyProtection="1">
      <alignment vertical="center"/>
    </xf>
    <xf numFmtId="0" fontId="7" fillId="0" borderId="9" xfId="1" applyNumberFormat="1" applyFont="1" applyBorder="1" applyAlignment="1" applyProtection="1">
      <alignment vertical="center"/>
    </xf>
    <xf numFmtId="0" fontId="7" fillId="0" borderId="7" xfId="1" applyNumberFormat="1" applyFont="1" applyBorder="1" applyAlignment="1" applyProtection="1">
      <alignment vertical="center"/>
    </xf>
    <xf numFmtId="0" fontId="7" fillId="0" borderId="10" xfId="1" applyNumberFormat="1" applyFont="1" applyBorder="1" applyAlignment="1" applyProtection="1">
      <alignment vertical="center"/>
    </xf>
    <xf numFmtId="0" fontId="7" fillId="0" borderId="8" xfId="1" applyNumberFormat="1" applyFont="1" applyBorder="1" applyAlignment="1" applyProtection="1">
      <alignment vertical="center"/>
    </xf>
    <xf numFmtId="0" fontId="6" fillId="0" borderId="12" xfId="1" applyNumberFormat="1" applyFont="1" applyBorder="1" applyAlignment="1" applyProtection="1">
      <alignment horizontal="right" vertical="center" wrapText="1"/>
    </xf>
    <xf numFmtId="0" fontId="2" fillId="0" borderId="0" xfId="1" applyFont="1" applyAlignment="1" applyProtection="1">
      <alignment horizontal="center" vertical="center"/>
    </xf>
    <xf numFmtId="0" fontId="6" fillId="0" borderId="12" xfId="1" applyNumberFormat="1" applyFont="1" applyBorder="1" applyAlignment="1" applyProtection="1">
      <alignment horizontal="right" vertical="center"/>
    </xf>
    <xf numFmtId="0" fontId="6" fillId="0" borderId="14" xfId="1" applyFont="1" applyBorder="1" applyAlignment="1" applyProtection="1">
      <alignment horizontal="right" vertical="center" wrapText="1"/>
    </xf>
    <xf numFmtId="0" fontId="6" fillId="0" borderId="12" xfId="1" applyFont="1" applyBorder="1" applyAlignment="1" applyProtection="1">
      <alignment horizontal="right" vertical="center"/>
    </xf>
    <xf numFmtId="0" fontId="6" fillId="0" borderId="12" xfId="1" applyFont="1" applyBorder="1" applyAlignment="1" applyProtection="1">
      <alignment horizontal="center" vertical="center"/>
    </xf>
    <xf numFmtId="164" fontId="5" fillId="0" borderId="12" xfId="1" applyNumberFormat="1" applyFont="1" applyBorder="1" applyAlignment="1" applyProtection="1">
      <alignment horizontal="center" vertical="center"/>
    </xf>
    <xf numFmtId="166" fontId="5" fillId="0" borderId="12" xfId="1" applyNumberFormat="1" applyFont="1" applyBorder="1" applyAlignment="1" applyProtection="1">
      <alignment horizontal="center" vertical="center"/>
    </xf>
    <xf numFmtId="0" fontId="6" fillId="0" borderId="12" xfId="1" applyFont="1" applyBorder="1" applyAlignment="1" applyProtection="1">
      <alignment horizontal="right" vertical="center" wrapText="1"/>
    </xf>
    <xf numFmtId="169" fontId="10" fillId="0" borderId="3" xfId="1" applyNumberFormat="1" applyFont="1" applyBorder="1" applyAlignment="1" applyProtection="1">
      <alignment vertical="center" wrapText="1"/>
    </xf>
    <xf numFmtId="166" fontId="10" fillId="0" borderId="1" xfId="1" applyNumberFormat="1" applyFont="1" applyBorder="1" applyAlignment="1" applyProtection="1">
      <alignment horizontal="right" vertical="center" wrapText="1"/>
    </xf>
    <xf numFmtId="1" fontId="13" fillId="0" borderId="12" xfId="1" applyNumberFormat="1" applyFont="1" applyBorder="1" applyAlignment="1" applyProtection="1">
      <alignment horizontal="center" vertical="center" wrapText="1"/>
    </xf>
    <xf numFmtId="170" fontId="5" fillId="0" borderId="12" xfId="1" applyNumberFormat="1" applyFont="1" applyBorder="1" applyAlignment="1" applyProtection="1">
      <alignment horizontal="center" vertical="center" wrapText="1"/>
    </xf>
    <xf numFmtId="170" fontId="5" fillId="0" borderId="12" xfId="1" applyNumberFormat="1" applyFont="1" applyBorder="1" applyAlignment="1" applyProtection="1">
      <alignment horizontal="center" vertical="center"/>
    </xf>
    <xf numFmtId="0" fontId="3" fillId="0" borderId="0" xfId="1" applyNumberFormat="1" applyFont="1" applyBorder="1" applyAlignment="1" applyProtection="1">
      <alignment vertical="center" wrapText="1"/>
    </xf>
    <xf numFmtId="0" fontId="9" fillId="0" borderId="12" xfId="1" applyNumberFormat="1" applyFont="1" applyBorder="1" applyAlignment="1" applyProtection="1">
      <alignment vertical="center" wrapText="1"/>
    </xf>
    <xf numFmtId="0" fontId="16" fillId="0" borderId="16" xfId="1" applyNumberFormat="1" applyFont="1" applyBorder="1" applyAlignment="1" applyProtection="1">
      <alignment vertical="center" wrapText="1"/>
      <protection locked="0"/>
    </xf>
    <xf numFmtId="0" fontId="9" fillId="0" borderId="5" xfId="1" applyNumberFormat="1" applyFont="1" applyBorder="1" applyAlignment="1" applyProtection="1">
      <alignment vertical="center" wrapText="1"/>
    </xf>
    <xf numFmtId="0" fontId="9" fillId="0" borderId="13" xfId="1" applyNumberFormat="1" applyFont="1" applyBorder="1" applyAlignment="1" applyProtection="1">
      <alignment vertical="center" wrapText="1"/>
      <protection locked="0"/>
    </xf>
    <xf numFmtId="0" fontId="9" fillId="0" borderId="12" xfId="1" applyNumberFormat="1" applyFont="1" applyBorder="1" applyAlignment="1" applyProtection="1">
      <alignment horizontal="center" vertical="center" wrapText="1"/>
    </xf>
    <xf numFmtId="0" fontId="9" fillId="3" borderId="5" xfId="1" applyNumberFormat="1" applyFont="1" applyFill="1" applyBorder="1" applyAlignment="1" applyProtection="1">
      <alignment horizontal="left" vertical="center" wrapText="1"/>
    </xf>
    <xf numFmtId="0" fontId="9" fillId="3" borderId="6" xfId="1" applyNumberFormat="1" applyFont="1" applyFill="1" applyBorder="1" applyAlignment="1" applyProtection="1">
      <alignment horizontal="left" vertical="center" wrapText="1"/>
    </xf>
    <xf numFmtId="0" fontId="9" fillId="3" borderId="5" xfId="1" applyNumberFormat="1" applyFont="1" applyFill="1" applyBorder="1" applyAlignment="1" applyProtection="1">
      <alignment horizontal="left" vertical="center"/>
    </xf>
    <xf numFmtId="0" fontId="9" fillId="3" borderId="11" xfId="1" applyNumberFormat="1" applyFont="1" applyFill="1" applyBorder="1" applyAlignment="1" applyProtection="1">
      <alignment horizontal="left" vertical="center"/>
    </xf>
    <xf numFmtId="0" fontId="9" fillId="3" borderId="11" xfId="1" applyNumberFormat="1" applyFont="1" applyFill="1" applyBorder="1" applyAlignment="1" applyProtection="1">
      <alignment horizontal="left" vertical="center" wrapText="1"/>
    </xf>
    <xf numFmtId="0" fontId="23" fillId="0" borderId="12" xfId="1" applyNumberFormat="1" applyFont="1" applyBorder="1" applyAlignment="1" applyProtection="1">
      <alignment horizontal="center" vertical="center" wrapText="1"/>
    </xf>
    <xf numFmtId="9" fontId="9" fillId="3" borderId="14" xfId="3" applyFont="1" applyFill="1" applyBorder="1" applyAlignment="1" applyProtection="1">
      <alignment horizontal="center" vertical="center" wrapText="1"/>
    </xf>
    <xf numFmtId="1" fontId="24" fillId="0" borderId="5" xfId="1" applyNumberFormat="1" applyFont="1" applyBorder="1" applyAlignment="1" applyProtection="1">
      <alignment horizontal="center" vertical="center" wrapText="1"/>
      <protection locked="0"/>
    </xf>
    <xf numFmtId="1" fontId="10" fillId="0" borderId="6" xfId="1" applyNumberFormat="1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left" vertical="center" wrapText="1"/>
    </xf>
    <xf numFmtId="0" fontId="9" fillId="0" borderId="6" xfId="0" applyFont="1" applyBorder="1" applyAlignment="1" applyProtection="1">
      <alignment horizontal="left" vertical="center" wrapText="1"/>
    </xf>
    <xf numFmtId="164" fontId="10" fillId="0" borderId="12" xfId="1" applyNumberFormat="1" applyFont="1" applyBorder="1" applyAlignment="1" applyProtection="1">
      <alignment horizontal="center" vertical="center" wrapText="1"/>
      <protection locked="0"/>
    </xf>
    <xf numFmtId="0" fontId="9" fillId="3" borderId="1" xfId="1" applyNumberFormat="1" applyFont="1" applyFill="1" applyBorder="1" applyAlignment="1" applyProtection="1">
      <alignment horizontal="left" vertical="center" wrapText="1"/>
    </xf>
    <xf numFmtId="0" fontId="9" fillId="3" borderId="3" xfId="1" applyNumberFormat="1" applyFont="1" applyFill="1" applyBorder="1" applyAlignment="1" applyProtection="1">
      <alignment horizontal="left" vertical="center" wrapText="1"/>
    </xf>
    <xf numFmtId="164" fontId="9" fillId="3" borderId="5" xfId="1" applyNumberFormat="1" applyFont="1" applyFill="1" applyBorder="1" applyAlignment="1" applyProtection="1">
      <alignment horizontal="center" vertical="center" wrapText="1"/>
    </xf>
    <xf numFmtId="164" fontId="9" fillId="3" borderId="11" xfId="1" applyNumberFormat="1" applyFont="1" applyFill="1" applyBorder="1" applyAlignment="1" applyProtection="1">
      <alignment horizontal="center" vertical="center" wrapText="1"/>
    </xf>
    <xf numFmtId="164" fontId="9" fillId="3" borderId="6" xfId="1" applyNumberFormat="1" applyFont="1" applyFill="1" applyBorder="1" applyAlignment="1" applyProtection="1">
      <alignment horizontal="center" vertical="center" wrapText="1"/>
    </xf>
    <xf numFmtId="164" fontId="5" fillId="0" borderId="5" xfId="1" applyNumberFormat="1" applyFont="1" applyBorder="1" applyAlignment="1" applyProtection="1">
      <alignment horizontal="center" vertical="center" wrapText="1"/>
    </xf>
    <xf numFmtId="164" fontId="5" fillId="0" borderId="11" xfId="1" applyNumberFormat="1" applyFont="1" applyBorder="1" applyAlignment="1" applyProtection="1">
      <alignment horizontal="center" vertical="center" wrapText="1"/>
    </xf>
    <xf numFmtId="164" fontId="10" fillId="0" borderId="5" xfId="1" applyNumberFormat="1" applyFont="1" applyBorder="1" applyAlignment="1" applyProtection="1">
      <alignment horizontal="center" vertical="center" wrapText="1"/>
    </xf>
    <xf numFmtId="164" fontId="10" fillId="0" borderId="11" xfId="1" applyNumberFormat="1" applyFont="1" applyBorder="1" applyAlignment="1" applyProtection="1">
      <alignment horizontal="center" vertical="center" wrapText="1"/>
    </xf>
    <xf numFmtId="164" fontId="10" fillId="0" borderId="6" xfId="1" applyNumberFormat="1" applyFont="1" applyBorder="1" applyAlignment="1" applyProtection="1">
      <alignment horizontal="center" vertical="center" wrapText="1"/>
    </xf>
    <xf numFmtId="164" fontId="10" fillId="0" borderId="1" xfId="1" applyNumberFormat="1" applyFont="1" applyBorder="1" applyAlignment="1" applyProtection="1">
      <alignment horizontal="center" vertical="center" wrapText="1"/>
    </xf>
    <xf numFmtId="164" fontId="10" fillId="0" borderId="2" xfId="1" applyNumberFormat="1" applyFont="1" applyBorder="1" applyAlignment="1" applyProtection="1">
      <alignment horizontal="center" vertical="center" wrapText="1"/>
    </xf>
    <xf numFmtId="164" fontId="10" fillId="0" borderId="3" xfId="1" applyNumberFormat="1" applyFont="1" applyBorder="1" applyAlignment="1" applyProtection="1">
      <alignment horizontal="center" vertical="center" wrapText="1"/>
    </xf>
    <xf numFmtId="164" fontId="24" fillId="0" borderId="12" xfId="3" applyNumberFormat="1" applyFont="1" applyBorder="1" applyAlignment="1" applyProtection="1">
      <alignment horizontal="center" vertical="center" wrapText="1"/>
      <protection locked="0"/>
    </xf>
    <xf numFmtId="164" fontId="21" fillId="0" borderId="12" xfId="3" applyNumberFormat="1" applyFont="1" applyBorder="1" applyAlignment="1" applyProtection="1">
      <alignment horizontal="center" vertical="center" wrapText="1"/>
      <protection locked="0"/>
    </xf>
    <xf numFmtId="1" fontId="10" fillId="0" borderId="5" xfId="1" applyNumberFormat="1" applyFont="1" applyBorder="1" applyAlignment="1" applyProtection="1">
      <alignment horizontal="center" vertical="center" wrapText="1"/>
      <protection locked="0"/>
    </xf>
    <xf numFmtId="164" fontId="9" fillId="3" borderId="12" xfId="1" applyNumberFormat="1" applyFont="1" applyFill="1" applyBorder="1" applyAlignment="1" applyProtection="1">
      <alignment horizontal="center" vertical="center" wrapText="1"/>
    </xf>
    <xf numFmtId="0" fontId="9" fillId="3" borderId="12" xfId="1" applyNumberFormat="1" applyFont="1" applyFill="1" applyBorder="1" applyAlignment="1" applyProtection="1">
      <alignment horizontal="left" vertical="center" wrapText="1"/>
    </xf>
    <xf numFmtId="0" fontId="11" fillId="0" borderId="2" xfId="1" applyNumberFormat="1" applyFont="1" applyBorder="1" applyAlignment="1" applyProtection="1">
      <alignment horizontal="center" vertical="center" wrapText="1"/>
    </xf>
    <xf numFmtId="0" fontId="11" fillId="0" borderId="3" xfId="1" applyNumberFormat="1" applyFont="1" applyBorder="1" applyAlignment="1" applyProtection="1">
      <alignment horizontal="center" vertical="center" wrapText="1"/>
    </xf>
    <xf numFmtId="0" fontId="11" fillId="0" borderId="0" xfId="1" applyNumberFormat="1" applyFont="1" applyBorder="1" applyAlignment="1" applyProtection="1">
      <alignment horizontal="center" vertical="center" wrapText="1"/>
    </xf>
    <xf numFmtId="0" fontId="11" fillId="0" borderId="9" xfId="1" applyNumberFormat="1" applyFont="1" applyBorder="1" applyAlignment="1" applyProtection="1">
      <alignment horizontal="center" vertical="center" wrapText="1"/>
    </xf>
    <xf numFmtId="0" fontId="11" fillId="0" borderId="10" xfId="1" applyNumberFormat="1" applyFont="1" applyBorder="1" applyAlignment="1" applyProtection="1">
      <alignment horizontal="center" vertical="center" wrapText="1"/>
    </xf>
    <xf numFmtId="0" fontId="11" fillId="0" borderId="8" xfId="1" applyNumberFormat="1" applyFont="1" applyBorder="1" applyAlignment="1" applyProtection="1">
      <alignment horizontal="center" vertical="center" wrapText="1"/>
    </xf>
    <xf numFmtId="0" fontId="10" fillId="0" borderId="12" xfId="0" applyFont="1" applyBorder="1" applyAlignment="1" applyProtection="1">
      <alignment horizontal="left" vertical="center" wrapText="1"/>
    </xf>
    <xf numFmtId="168" fontId="10" fillId="0" borderId="12" xfId="0" applyNumberFormat="1" applyFont="1" applyBorder="1" applyAlignment="1" applyProtection="1">
      <alignment horizontal="left" vertical="center" wrapText="1"/>
    </xf>
    <xf numFmtId="0" fontId="10" fillId="0" borderId="12" xfId="0" applyFont="1" applyBorder="1" applyAlignment="1" applyProtection="1">
      <alignment horizontal="left" vertical="center" wrapText="1"/>
      <protection locked="0"/>
    </xf>
    <xf numFmtId="14" fontId="10" fillId="0" borderId="12" xfId="0" applyNumberFormat="1" applyFont="1" applyBorder="1" applyAlignment="1" applyProtection="1">
      <alignment horizontal="left" vertical="center" wrapText="1"/>
      <protection locked="0"/>
    </xf>
    <xf numFmtId="0" fontId="6" fillId="0" borderId="11" xfId="1" applyNumberFormat="1" applyFont="1" applyBorder="1" applyAlignment="1" applyProtection="1">
      <alignment horizontal="left" vertical="center" wrapText="1"/>
    </xf>
    <xf numFmtId="0" fontId="6" fillId="0" borderId="6" xfId="1" applyNumberFormat="1" applyFont="1" applyBorder="1" applyAlignment="1" applyProtection="1">
      <alignment horizontal="left" vertical="center" wrapText="1"/>
    </xf>
    <xf numFmtId="0" fontId="10" fillId="0" borderId="5" xfId="1" applyNumberFormat="1" applyFont="1" applyBorder="1" applyAlignment="1" applyProtection="1">
      <alignment horizontal="center" vertical="center" wrapText="1"/>
    </xf>
    <xf numFmtId="0" fontId="10" fillId="0" borderId="6" xfId="1" applyNumberFormat="1" applyFont="1" applyBorder="1" applyAlignment="1" applyProtection="1">
      <alignment horizontal="center" vertical="center" wrapText="1"/>
    </xf>
    <xf numFmtId="0" fontId="6" fillId="2" borderId="12" xfId="0" applyFont="1" applyFill="1" applyBorder="1" applyAlignment="1" applyProtection="1">
      <alignment horizontal="center" vertical="center" wrapText="1"/>
    </xf>
    <xf numFmtId="0" fontId="5" fillId="0" borderId="12" xfId="0" applyFont="1" applyBorder="1" applyAlignment="1" applyProtection="1">
      <alignment horizontal="center" vertical="top" wrapText="1"/>
      <protection locked="0"/>
    </xf>
    <xf numFmtId="0" fontId="6" fillId="3" borderId="15" xfId="1" applyNumberFormat="1" applyFont="1" applyFill="1" applyBorder="1" applyAlignment="1" applyProtection="1">
      <alignment horizontal="left" vertical="center" wrapText="1"/>
    </xf>
    <xf numFmtId="0" fontId="22" fillId="0" borderId="0" xfId="1" applyNumberFormat="1" applyFont="1" applyBorder="1" applyAlignment="1" applyProtection="1">
      <alignment horizontal="left" vertical="center" wrapText="1"/>
    </xf>
    <xf numFmtId="0" fontId="22" fillId="0" borderId="9" xfId="1" applyNumberFormat="1" applyFont="1" applyBorder="1" applyAlignment="1" applyProtection="1">
      <alignment horizontal="left" vertical="center" wrapText="1"/>
    </xf>
    <xf numFmtId="0" fontId="10" fillId="0" borderId="10" xfId="1" applyNumberFormat="1" applyFont="1" applyBorder="1" applyAlignment="1" applyProtection="1">
      <alignment horizontal="left" vertical="top" wrapText="1"/>
    </xf>
    <xf numFmtId="0" fontId="10" fillId="0" borderId="8" xfId="1" applyNumberFormat="1" applyFont="1" applyBorder="1" applyAlignment="1" applyProtection="1">
      <alignment horizontal="left" vertical="top" wrapText="1"/>
    </xf>
    <xf numFmtId="0" fontId="9" fillId="0" borderId="2" xfId="1" applyNumberFormat="1" applyFont="1" applyBorder="1" applyAlignment="1" applyProtection="1">
      <alignment horizontal="left" vertical="top" wrapText="1"/>
      <protection locked="0"/>
    </xf>
    <xf numFmtId="0" fontId="9" fillId="0" borderId="3" xfId="1" applyNumberFormat="1" applyFont="1" applyBorder="1" applyAlignment="1" applyProtection="1">
      <alignment horizontal="left" vertical="top" wrapText="1"/>
      <protection locked="0"/>
    </xf>
    <xf numFmtId="164" fontId="10" fillId="0" borderId="12" xfId="1" applyNumberFormat="1" applyFont="1" applyBorder="1" applyAlignment="1" applyProtection="1">
      <alignment horizontal="center" vertical="center" wrapText="1"/>
    </xf>
    <xf numFmtId="167" fontId="10" fillId="0" borderId="1" xfId="1" applyNumberFormat="1" applyFont="1" applyBorder="1" applyAlignment="1" applyProtection="1">
      <alignment horizontal="center" vertical="center" wrapText="1"/>
    </xf>
    <xf numFmtId="167" fontId="10" fillId="0" borderId="2" xfId="1" applyNumberFormat="1" applyFont="1" applyBorder="1" applyAlignment="1" applyProtection="1">
      <alignment horizontal="center" vertical="center" wrapText="1"/>
    </xf>
    <xf numFmtId="167" fontId="10" fillId="0" borderId="3" xfId="1" applyNumberFormat="1" applyFont="1" applyBorder="1" applyAlignment="1" applyProtection="1">
      <alignment horizontal="center" vertical="center" wrapText="1"/>
    </xf>
    <xf numFmtId="167" fontId="10" fillId="0" borderId="4" xfId="1" applyNumberFormat="1" applyFont="1" applyBorder="1" applyAlignment="1" applyProtection="1">
      <alignment horizontal="center" vertical="center" wrapText="1"/>
    </xf>
    <xf numFmtId="167" fontId="10" fillId="0" borderId="0" xfId="1" applyNumberFormat="1" applyFont="1" applyBorder="1" applyAlignment="1" applyProtection="1">
      <alignment horizontal="center" vertical="center" wrapText="1"/>
    </xf>
    <xf numFmtId="167" fontId="10" fillId="0" borderId="9" xfId="1" applyNumberFormat="1" applyFont="1" applyBorder="1" applyAlignment="1" applyProtection="1">
      <alignment horizontal="center" vertical="center" wrapText="1"/>
    </xf>
    <xf numFmtId="0" fontId="2" fillId="0" borderId="5" xfId="1" applyFont="1" applyBorder="1" applyAlignment="1" applyProtection="1">
      <alignment horizontal="center"/>
    </xf>
    <xf numFmtId="0" fontId="2" fillId="0" borderId="6" xfId="1" applyFont="1" applyBorder="1" applyAlignment="1" applyProtection="1">
      <alignment horizontal="center"/>
    </xf>
    <xf numFmtId="0" fontId="10" fillId="0" borderId="5" xfId="1" applyNumberFormat="1" applyFont="1" applyBorder="1" applyAlignment="1" applyProtection="1">
      <alignment horizontal="center" vertical="center" wrapText="1"/>
      <protection locked="0"/>
    </xf>
    <xf numFmtId="0" fontId="10" fillId="0" borderId="11" xfId="1" applyNumberFormat="1" applyFont="1" applyBorder="1" applyAlignment="1" applyProtection="1">
      <alignment horizontal="center" vertical="center" wrapText="1"/>
      <protection locked="0"/>
    </xf>
    <xf numFmtId="0" fontId="10" fillId="0" borderId="6" xfId="1" applyNumberFormat="1" applyFont="1" applyBorder="1" applyAlignment="1" applyProtection="1">
      <alignment horizontal="center" vertical="center" wrapText="1"/>
      <protection locked="0"/>
    </xf>
    <xf numFmtId="49" fontId="4" fillId="0" borderId="5" xfId="1" applyNumberFormat="1" applyFont="1" applyBorder="1" applyAlignment="1" applyProtection="1">
      <alignment horizontal="center" vertical="center"/>
      <protection locked="0"/>
    </xf>
    <xf numFmtId="49" fontId="4" fillId="0" borderId="6" xfId="1" applyNumberFormat="1" applyFont="1" applyBorder="1" applyAlignment="1" applyProtection="1">
      <alignment horizontal="center" vertical="center"/>
      <protection locked="0"/>
    </xf>
    <xf numFmtId="0" fontId="9" fillId="3" borderId="5" xfId="1" applyNumberFormat="1" applyFont="1" applyFill="1" applyBorder="1" applyAlignment="1" applyProtection="1">
      <alignment horizontal="center" vertical="center" wrapText="1"/>
    </xf>
    <xf numFmtId="0" fontId="9" fillId="3" borderId="6" xfId="1" applyNumberFormat="1" applyFont="1" applyFill="1" applyBorder="1" applyAlignment="1" applyProtection="1">
      <alignment horizontal="center" vertical="center" wrapText="1"/>
    </xf>
    <xf numFmtId="14" fontId="9" fillId="3" borderId="5" xfId="1" applyNumberFormat="1" applyFont="1" applyFill="1" applyBorder="1" applyAlignment="1" applyProtection="1">
      <alignment horizontal="center" vertical="center" wrapText="1"/>
      <protection locked="0"/>
    </xf>
    <xf numFmtId="14" fontId="9" fillId="3" borderId="6" xfId="1" applyNumberFormat="1" applyFont="1" applyFill="1" applyBorder="1" applyAlignment="1" applyProtection="1">
      <alignment horizontal="center" vertical="center" wrapText="1"/>
      <protection locked="0"/>
    </xf>
    <xf numFmtId="0" fontId="20" fillId="0" borderId="12" xfId="1" applyFont="1" applyBorder="1" applyAlignment="1" applyProtection="1">
      <alignment horizontal="center" vertical="center"/>
      <protection locked="0"/>
    </xf>
    <xf numFmtId="0" fontId="18" fillId="0" borderId="12" xfId="1" applyFont="1" applyBorder="1" applyAlignment="1" applyProtection="1">
      <alignment horizontal="center" vertical="center" wrapText="1"/>
    </xf>
    <xf numFmtId="165" fontId="5" fillId="0" borderId="5" xfId="1" applyNumberFormat="1" applyFont="1" applyBorder="1" applyAlignment="1" applyProtection="1">
      <alignment horizontal="center" vertical="center" wrapText="1"/>
    </xf>
    <xf numFmtId="165" fontId="5" fillId="0" borderId="6" xfId="1" applyNumberFormat="1" applyFont="1" applyBorder="1" applyAlignment="1" applyProtection="1">
      <alignment horizontal="center" vertical="center" wrapText="1"/>
    </xf>
    <xf numFmtId="0" fontId="9" fillId="3" borderId="11" xfId="1" applyNumberFormat="1" applyFont="1" applyFill="1" applyBorder="1" applyAlignment="1" applyProtection="1">
      <alignment horizontal="center" vertical="center" wrapText="1"/>
    </xf>
    <xf numFmtId="14" fontId="10" fillId="0" borderId="5" xfId="1" applyNumberFormat="1" applyFont="1" applyBorder="1" applyAlignment="1" applyProtection="1">
      <alignment horizontal="center" vertical="center" wrapText="1"/>
      <protection locked="0"/>
    </xf>
    <xf numFmtId="14" fontId="10" fillId="0" borderId="11" xfId="1" applyNumberFormat="1" applyFont="1" applyBorder="1" applyAlignment="1" applyProtection="1">
      <alignment horizontal="center" vertical="center" wrapText="1"/>
      <protection locked="0"/>
    </xf>
    <xf numFmtId="14" fontId="10" fillId="0" borderId="6" xfId="1" applyNumberFormat="1" applyFont="1" applyBorder="1" applyAlignment="1" applyProtection="1">
      <alignment horizontal="center" vertical="center" wrapText="1"/>
      <protection locked="0"/>
    </xf>
    <xf numFmtId="14" fontId="5" fillId="0" borderId="5" xfId="1" applyNumberFormat="1" applyFont="1" applyBorder="1" applyAlignment="1" applyProtection="1">
      <alignment horizontal="center" vertical="center" wrapText="1"/>
      <protection locked="0"/>
    </xf>
    <xf numFmtId="0" fontId="5" fillId="0" borderId="6" xfId="1" applyNumberFormat="1" applyFont="1" applyBorder="1" applyAlignment="1" applyProtection="1">
      <alignment horizontal="center" vertical="center" wrapText="1"/>
      <protection locked="0"/>
    </xf>
    <xf numFmtId="0" fontId="5" fillId="0" borderId="5" xfId="1" applyFont="1" applyBorder="1" applyAlignment="1" applyProtection="1">
      <alignment horizontal="center" vertical="center"/>
    </xf>
    <xf numFmtId="0" fontId="5" fillId="0" borderId="11" xfId="1" applyFont="1" applyBorder="1" applyAlignment="1" applyProtection="1">
      <alignment horizontal="center" vertical="center"/>
    </xf>
    <xf numFmtId="0" fontId="5" fillId="0" borderId="6" xfId="1" applyFont="1" applyBorder="1" applyAlignment="1" applyProtection="1">
      <alignment horizontal="center" vertical="center"/>
    </xf>
    <xf numFmtId="0" fontId="17" fillId="0" borderId="0" xfId="1" applyNumberFormat="1" applyFont="1" applyBorder="1" applyAlignment="1" applyProtection="1">
      <alignment horizontal="center" vertical="center"/>
    </xf>
    <xf numFmtId="0" fontId="6" fillId="0" borderId="12" xfId="1" applyNumberFormat="1" applyFont="1" applyBorder="1" applyAlignment="1" applyProtection="1">
      <alignment horizontal="center" vertical="center" wrapText="1"/>
    </xf>
    <xf numFmtId="0" fontId="2" fillId="0" borderId="12" xfId="1" applyFont="1" applyBorder="1" applyAlignment="1" applyProtection="1">
      <alignment horizontal="center" vertical="center"/>
    </xf>
    <xf numFmtId="0" fontId="2" fillId="0" borderId="12" xfId="1" applyFont="1" applyBorder="1" applyAlignment="1" applyProtection="1">
      <alignment horizontal="center" vertical="center"/>
      <protection locked="0"/>
    </xf>
    <xf numFmtId="164" fontId="10" fillId="0" borderId="0" xfId="1" applyNumberFormat="1" applyFont="1" applyBorder="1" applyAlignment="1" applyProtection="1">
      <alignment horizontal="center" vertical="center" wrapText="1"/>
    </xf>
    <xf numFmtId="0" fontId="6" fillId="0" borderId="12" xfId="1" applyFont="1" applyBorder="1" applyAlignment="1" applyProtection="1">
      <alignment horizontal="center" vertical="center" wrapText="1"/>
    </xf>
    <xf numFmtId="0" fontId="16" fillId="0" borderId="12" xfId="1" applyNumberFormat="1" applyFont="1" applyBorder="1" applyAlignment="1" applyProtection="1">
      <alignment horizontal="center" vertical="center" wrapText="1"/>
    </xf>
    <xf numFmtId="1" fontId="26" fillId="0" borderId="5" xfId="1" applyNumberFormat="1" applyFont="1" applyBorder="1" applyAlignment="1" applyProtection="1">
      <alignment horizontal="center" vertical="center" wrapText="1"/>
      <protection locked="0"/>
    </xf>
    <xf numFmtId="164" fontId="26" fillId="0" borderId="12" xfId="1" applyNumberFormat="1" applyFont="1" applyBorder="1" applyAlignment="1" applyProtection="1">
      <alignment horizontal="center" vertical="center" wrapText="1"/>
      <protection locked="0"/>
    </xf>
    <xf numFmtId="169" fontId="10" fillId="0" borderId="5" xfId="1" applyNumberFormat="1" applyFont="1" applyBorder="1" applyAlignment="1" applyProtection="1">
      <alignment horizontal="center" vertical="center" wrapText="1"/>
      <protection locked="0"/>
    </xf>
    <xf numFmtId="169" fontId="10" fillId="0" borderId="12" xfId="1" applyNumberFormat="1" applyFont="1" applyBorder="1" applyAlignment="1" applyProtection="1">
      <alignment horizontal="center" vertical="center" wrapText="1"/>
      <protection locked="0"/>
    </xf>
    <xf numFmtId="0" fontId="27" fillId="0" borderId="5" xfId="1" applyFont="1" applyBorder="1" applyAlignment="1" applyProtection="1">
      <alignment horizontal="center" vertical="center"/>
      <protection locked="0"/>
    </xf>
    <xf numFmtId="0" fontId="27" fillId="0" borderId="11" xfId="1" applyFont="1" applyBorder="1" applyAlignment="1" applyProtection="1">
      <alignment horizontal="center" vertical="center"/>
      <protection locked="0"/>
    </xf>
    <xf numFmtId="0" fontId="27" fillId="0" borderId="6" xfId="1" applyFont="1" applyBorder="1" applyAlignment="1" applyProtection="1">
      <alignment horizontal="center" vertical="center"/>
      <protection locked="0"/>
    </xf>
  </cellXfs>
  <cellStyles count="4">
    <cellStyle name="Normal" xfId="0" builtinId="0"/>
    <cellStyle name="Normal 3" xfId="1" xr:uid="{00000000-0005-0000-0000-000001000000}"/>
    <cellStyle name="Percent" xfId="3" builtinId="5"/>
    <cellStyle name="Title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12944716988909"/>
          <c:y val="3.5524375590422645E-2"/>
          <c:w val="0.87837407758585151"/>
          <c:h val="0.76075691411935953"/>
        </c:manualLayout>
      </c:layout>
      <c:scatterChart>
        <c:scatterStyle val="smoothMarker"/>
        <c:varyColors val="0"/>
        <c:ser>
          <c:idx val="1"/>
          <c:order val="0"/>
          <c:tx>
            <c:v>KES</c:v>
          </c:tx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delete val="1"/>
          </c:dLbls>
          <c:errBars>
            <c:errDir val="y"/>
            <c:errBarType val="minus"/>
            <c:errValType val="percentage"/>
            <c:noEndCap val="0"/>
            <c:val val="99"/>
            <c:spPr>
              <a:ln w="22225">
                <a:solidFill>
                  <a:schemeClr val="accent5">
                    <a:lumMod val="50000"/>
                    <a:alpha val="50000"/>
                  </a:schemeClr>
                </a:solidFill>
                <a:headEnd type="triangle" w="med" len="med"/>
                <a:tailEnd type="none" w="lg" len="lg"/>
              </a:ln>
            </c:spPr>
          </c:errBars>
          <c:errBars>
            <c:errDir val="x"/>
            <c:errBarType val="minus"/>
            <c:errValType val="percentage"/>
            <c:noEndCap val="0"/>
            <c:val val="99"/>
            <c:spPr>
              <a:ln w="19050" cap="sq">
                <a:solidFill>
                  <a:schemeClr val="accent5">
                    <a:lumMod val="50000"/>
                    <a:alpha val="50000"/>
                  </a:schemeClr>
                </a:solidFill>
                <a:headEnd type="triangle" w="med" len="sm"/>
                <a:tailEnd type="stealth" w="sm" len="sm"/>
              </a:ln>
            </c:spPr>
          </c:errBars>
          <c:xVal>
            <c:numRef>
              <c:f>Kivam!$O$30</c:f>
              <c:numCache>
                <c:formatCode>0</c:formatCode>
                <c:ptCount val="1"/>
                <c:pt idx="0">
                  <c:v>49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25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57B-4A20-8AC2-4EA9AA7B483F}"/>
            </c:ext>
          </c:extLst>
        </c:ser>
        <c:ser>
          <c:idx val="0"/>
          <c:order val="1"/>
          <c:tx>
            <c:v>MB</c:v>
          </c:tx>
          <c:marker>
            <c:symbol val="circle"/>
            <c:size val="4"/>
            <c:spPr>
              <a:ln w="38100"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 w="34925">
                <a:solidFill>
                  <a:schemeClr val="accent1">
                    <a:lumMod val="75000"/>
                    <a:alpha val="42000"/>
                  </a:schemeClr>
                </a:solidFill>
              </a:ln>
            </c:spPr>
            <c:trendlineType val="exp"/>
            <c:dispRSqr val="0"/>
            <c:dispEq val="0"/>
          </c:trendline>
          <c:xVal>
            <c:numRef>
              <c:f>[0]!suicerikleri3</c:f>
              <c:numCache>
                <c:formatCode>0.00;;</c:formatCode>
                <c:ptCount val="6"/>
                <c:pt idx="0">
                  <c:v>48</c:v>
                </c:pt>
                <c:pt idx="2">
                  <c:v>49</c:v>
                </c:pt>
                <c:pt idx="4">
                  <c:v>50</c:v>
                </c:pt>
              </c:numCache>
            </c:numRef>
          </c:xVal>
          <c:yVal>
            <c:numRef>
              <c:f>[0]!vuruslar3</c:f>
              <c:numCache>
                <c:formatCode>0</c:formatCode>
                <c:ptCount val="6"/>
                <c:pt idx="0">
                  <c:v>20</c:v>
                </c:pt>
                <c:pt idx="2">
                  <c:v>26</c:v>
                </c:pt>
                <c:pt idx="4">
                  <c:v>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7B-4A20-8AC2-4EA9AA7B483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96263200"/>
        <c:axId val="196263592"/>
      </c:scatterChart>
      <c:valAx>
        <c:axId val="196263200"/>
        <c:scaling>
          <c:orientation val="minMax"/>
          <c:max val="51"/>
          <c:min val="47"/>
        </c:scaling>
        <c:delete val="0"/>
        <c:axPos val="b"/>
        <c:minorGridlines/>
        <c:numFmt formatCode="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tr-TR"/>
          </a:p>
        </c:txPr>
        <c:crossAx val="196263592"/>
        <c:crosses val="autoZero"/>
        <c:crossBetween val="midCat"/>
        <c:majorUnit val="1"/>
      </c:valAx>
      <c:valAx>
        <c:axId val="196263592"/>
        <c:scaling>
          <c:logBase val="2"/>
          <c:orientation val="minMax"/>
          <c:max val="45"/>
          <c:min val="10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 sz="1100" b="1"/>
                </a:pPr>
                <a:r>
                  <a:rPr lang="tr-TR" sz="1200" b="1" i="0" baseline="0">
                    <a:effectLst/>
                  </a:rPr>
                  <a:t>Vuruş</a:t>
                </a:r>
                <a:r>
                  <a:rPr lang="tr-TR" sz="1200" b="0" i="0" baseline="0">
                    <a:effectLst/>
                  </a:rPr>
                  <a:t> </a:t>
                </a:r>
                <a:r>
                  <a:rPr lang="tr-TR" sz="1200" b="1" i="0" baseline="0">
                    <a:effectLst/>
                  </a:rPr>
                  <a:t>Adeti</a:t>
                </a:r>
                <a:endParaRPr lang="tr-TR" sz="900" b="1">
                  <a:effectLst/>
                </a:endParaRPr>
              </a:p>
            </c:rich>
          </c:tx>
          <c:layout>
            <c:manualLayout>
              <c:xMode val="edge"/>
              <c:yMode val="edge"/>
              <c:x val="1.1376140692697432E-2"/>
              <c:y val="0.3142096757555960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tr-TR"/>
          </a:p>
        </c:txPr>
        <c:crossAx val="1962632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b="0"/>
      </a:pPr>
      <a:endParaRPr lang="tr-TR"/>
    </a:p>
  </c:txPr>
  <c:printSettings>
    <c:headerFooter/>
    <c:pageMargins b="0.75" l="0.7" r="0.7" t="0.75" header="0.3" footer="0.3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12944716988909"/>
          <c:y val="3.5524375590422645E-2"/>
          <c:w val="0.87845005286237698"/>
          <c:h val="0.76075691411935953"/>
        </c:manualLayout>
      </c:layout>
      <c:scatterChart>
        <c:scatterStyle val="smoothMarker"/>
        <c:varyColors val="0"/>
        <c:ser>
          <c:idx val="1"/>
          <c:order val="0"/>
          <c:tx>
            <c:v>KES</c:v>
          </c:tx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delete val="1"/>
          </c:dLbls>
          <c:errBars>
            <c:errDir val="y"/>
            <c:errBarType val="minus"/>
            <c:errValType val="percentage"/>
            <c:noEndCap val="0"/>
            <c:val val="99"/>
            <c:spPr>
              <a:ln w="22225">
                <a:solidFill>
                  <a:schemeClr val="accent5">
                    <a:lumMod val="50000"/>
                    <a:alpha val="50000"/>
                  </a:schemeClr>
                </a:solidFill>
                <a:headEnd type="triangle" w="med" len="med"/>
                <a:tailEnd type="none" w="lg" len="lg"/>
              </a:ln>
            </c:spPr>
          </c:errBars>
          <c:errBars>
            <c:errDir val="x"/>
            <c:errBarType val="minus"/>
            <c:errValType val="percentage"/>
            <c:noEndCap val="0"/>
            <c:val val="99"/>
            <c:spPr>
              <a:ln w="19050" cap="sq">
                <a:solidFill>
                  <a:schemeClr val="accent5">
                    <a:lumMod val="50000"/>
                    <a:alpha val="50000"/>
                  </a:schemeClr>
                </a:solidFill>
                <a:headEnd type="triangle" w="med" len="sm"/>
                <a:tailEnd type="stealth" w="sm" len="sm"/>
              </a:ln>
            </c:spPr>
          </c:errBars>
          <c:xVal>
            <c:numRef>
              <c:f>Kivam!$O$30</c:f>
              <c:numCache>
                <c:formatCode>0</c:formatCode>
                <c:ptCount val="1"/>
                <c:pt idx="0">
                  <c:v>49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25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0B8-4568-A08B-DC22CAF29F4D}"/>
            </c:ext>
          </c:extLst>
        </c:ser>
        <c:ser>
          <c:idx val="0"/>
          <c:order val="1"/>
          <c:tx>
            <c:v>MB</c:v>
          </c:tx>
          <c:marker>
            <c:symbol val="circle"/>
            <c:size val="4"/>
            <c:spPr>
              <a:ln w="38100"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 w="34925">
                <a:solidFill>
                  <a:schemeClr val="accent1">
                    <a:lumMod val="75000"/>
                    <a:alpha val="42000"/>
                  </a:schemeClr>
                </a:solidFill>
              </a:ln>
            </c:spPr>
            <c:trendlineType val="exp"/>
            <c:dispRSqr val="0"/>
            <c:dispEq val="0"/>
          </c:trendline>
          <c:xVal>
            <c:numRef>
              <c:f>[0]!suicerikleri</c:f>
              <c:numCache>
                <c:formatCode>0.00;;</c:formatCode>
                <c:ptCount val="8"/>
                <c:pt idx="0">
                  <c:v>48</c:v>
                </c:pt>
                <c:pt idx="2">
                  <c:v>49</c:v>
                </c:pt>
                <c:pt idx="4">
                  <c:v>50</c:v>
                </c:pt>
                <c:pt idx="6">
                  <c:v>51</c:v>
                </c:pt>
              </c:numCache>
            </c:numRef>
          </c:xVal>
          <c:yVal>
            <c:numRef>
              <c:f>[0]!vuruslar</c:f>
              <c:numCache>
                <c:formatCode>0</c:formatCode>
                <c:ptCount val="8"/>
                <c:pt idx="0">
                  <c:v>20</c:v>
                </c:pt>
                <c:pt idx="2">
                  <c:v>26</c:v>
                </c:pt>
                <c:pt idx="4">
                  <c:v>30</c:v>
                </c:pt>
                <c:pt idx="6">
                  <c:v>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0B8-4568-A08B-DC22CAF29F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96263200"/>
        <c:axId val="196263592"/>
      </c:scatterChart>
      <c:valAx>
        <c:axId val="196263200"/>
        <c:scaling>
          <c:orientation val="minMax"/>
          <c:max val="52"/>
          <c:min val="47"/>
        </c:scaling>
        <c:delete val="0"/>
        <c:axPos val="b"/>
        <c:minorGridlines/>
        <c:numFmt formatCode="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tr-TR"/>
          </a:p>
        </c:txPr>
        <c:crossAx val="196263592"/>
        <c:crosses val="autoZero"/>
        <c:crossBetween val="midCat"/>
        <c:majorUnit val="1"/>
      </c:valAx>
      <c:valAx>
        <c:axId val="196263592"/>
        <c:scaling>
          <c:logBase val="2"/>
          <c:orientation val="minMax"/>
          <c:max val="45"/>
          <c:min val="10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 sz="1100" b="1"/>
                </a:pPr>
                <a:r>
                  <a:rPr lang="tr-TR" sz="1200" b="1" i="0" baseline="0">
                    <a:effectLst/>
                  </a:rPr>
                  <a:t>Vuruş</a:t>
                </a:r>
                <a:r>
                  <a:rPr lang="tr-TR" sz="1200" b="0" i="0" baseline="0">
                    <a:effectLst/>
                  </a:rPr>
                  <a:t> </a:t>
                </a:r>
                <a:r>
                  <a:rPr lang="tr-TR" sz="1200" b="1" i="0" baseline="0">
                    <a:effectLst/>
                  </a:rPr>
                  <a:t>Adeti</a:t>
                </a:r>
                <a:endParaRPr lang="tr-TR" sz="900" b="1">
                  <a:effectLst/>
                </a:endParaRPr>
              </a:p>
            </c:rich>
          </c:tx>
          <c:layout>
            <c:manualLayout>
              <c:xMode val="edge"/>
              <c:yMode val="edge"/>
              <c:x val="1.1376140692697432E-2"/>
              <c:y val="0.3142096757555960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tr-TR"/>
          </a:p>
        </c:txPr>
        <c:crossAx val="19626320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b="0"/>
      </a:pPr>
      <a:endParaRPr lang="tr-TR"/>
    </a:p>
  </c:txPr>
  <c:printSettings>
    <c:headerFooter/>
    <c:pageMargins b="0.75" l="0.7" r="0.7" t="0.75" header="0.3" footer="0.3"/>
    <c:pageSetup orientation="portrait"/>
  </c:printSettings>
  <c:userShapes r:id="rId1"/>
</c:chartSpace>
</file>

<file path=xl/ctrlProps/ctrlProp1.xml><?xml version="1.0" encoding="utf-8"?>
<formControlPr xmlns="http://schemas.microsoft.com/office/spreadsheetml/2009/9/main" objectType="Drop" dropLines="4" dropStyle="combo" dx="22" fmlaLink="$Q$31" fmlaRange="Listeler!$A$1:$A$4" noThreeD="1" sel="2" val="0"/>
</file>

<file path=xl/ctrlProps/ctrlProp2.xml><?xml version="1.0" encoding="utf-8"?>
<formControlPr xmlns="http://schemas.microsoft.com/office/spreadsheetml/2009/9/main" objectType="Drop" dropLines="3" dropStyle="combo" dx="22" fmlaLink="$O$31" fmlaRange="Listeler!$B$1:$B$3" noThreeD="1" sel="3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6" Type="http://schemas.openxmlformats.org/officeDocument/2006/relationships/image" Target="../media/image6.emf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</xdr:row>
          <xdr:rowOff>38100</xdr:rowOff>
        </xdr:from>
        <xdr:to>
          <xdr:col>8</xdr:col>
          <xdr:colOff>1160</xdr:colOff>
          <xdr:row>6</xdr:row>
          <xdr:rowOff>321945</xdr:rowOff>
        </xdr:to>
        <xdr:sp macro="" textlink="">
          <xdr:nvSpPr>
            <xdr:cNvPr id="4129" name="Drop Dow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19051</xdr:colOff>
          <xdr:row>9</xdr:row>
          <xdr:rowOff>38100</xdr:rowOff>
        </xdr:from>
        <xdr:to>
          <xdr:col>11</xdr:col>
          <xdr:colOff>531993</xdr:colOff>
          <xdr:row>9</xdr:row>
          <xdr:rowOff>321945</xdr:rowOff>
        </xdr:to>
        <xdr:sp macro="" textlink="">
          <xdr:nvSpPr>
            <xdr:cNvPr id="4130" name="MetotSec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oneCellAnchor>
    <xdr:from>
      <xdr:col>0</xdr:col>
      <xdr:colOff>41463</xdr:colOff>
      <xdr:row>0</xdr:row>
      <xdr:rowOff>38658</xdr:rowOff>
    </xdr:from>
    <xdr:ext cx="656665" cy="656667"/>
    <xdr:pic>
      <xdr:nvPicPr>
        <xdr:cNvPr id="5" name="Resim 7" descr="C:\Users\skirtas.KGMNET\Desktop\KGM_LOGO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63" y="38658"/>
          <a:ext cx="656665" cy="6566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38101</xdr:colOff>
          <xdr:row>18</xdr:row>
          <xdr:rowOff>22859</xdr:rowOff>
        </xdr:from>
        <xdr:to>
          <xdr:col>13</xdr:col>
          <xdr:colOff>57316</xdr:colOff>
          <xdr:row>28</xdr:row>
          <xdr:rowOff>398889</xdr:rowOff>
        </xdr:to>
        <xdr:pic macro="[0]!chartme">
          <xdr:nvPicPr>
            <xdr:cNvPr id="14" name="3N-Graph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Grafik3N!$A$1" spid="_x0000_s453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8101" y="4926163"/>
              <a:ext cx="6960704" cy="223133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0</xdr:col>
      <xdr:colOff>38100</xdr:colOff>
      <xdr:row>18</xdr:row>
      <xdr:rowOff>1</xdr:rowOff>
    </xdr:from>
    <xdr:to>
      <xdr:col>11</xdr:col>
      <xdr:colOff>514184</xdr:colOff>
      <xdr:row>28</xdr:row>
      <xdr:rowOff>361951</xdr:rowOff>
    </xdr:to>
    <xdr:pic macro="[0]!chartme">
      <xdr:nvPicPr>
        <xdr:cNvPr id="2" name="TS-Graph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903305"/>
          <a:ext cx="6778487" cy="2217255"/>
        </a:xfrm>
        <a:prstGeom prst="rect">
          <a:avLst/>
        </a:prstGeom>
      </xdr:spPr>
    </xdr:pic>
    <xdr:clientData/>
  </xdr:twoCellAnchor>
  <xdr:twoCellAnchor editAs="oneCell">
    <xdr:from>
      <xdr:col>2</xdr:col>
      <xdr:colOff>394138</xdr:colOff>
      <xdr:row>15</xdr:row>
      <xdr:rowOff>24344</xdr:rowOff>
    </xdr:from>
    <xdr:to>
      <xdr:col>5</xdr:col>
      <xdr:colOff>268255</xdr:colOff>
      <xdr:row>16</xdr:row>
      <xdr:rowOff>3039</xdr:rowOff>
    </xdr:to>
    <xdr:pic>
      <xdr:nvPicPr>
        <xdr:cNvPr id="6" name="TS-LL-Formul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60403" y="3554197"/>
          <a:ext cx="1455053" cy="359695"/>
        </a:xfrm>
        <a:prstGeom prst="rect">
          <a:avLst/>
        </a:prstGeom>
      </xdr:spPr>
    </xdr:pic>
    <xdr:clientData/>
  </xdr:twoCellAnchor>
  <xdr:twoCellAnchor editAs="oneCell">
    <xdr:from>
      <xdr:col>3</xdr:col>
      <xdr:colOff>137948</xdr:colOff>
      <xdr:row>17</xdr:row>
      <xdr:rowOff>91966</xdr:rowOff>
    </xdr:from>
    <xdr:to>
      <xdr:col>4</xdr:col>
      <xdr:colOff>401706</xdr:colOff>
      <xdr:row>17</xdr:row>
      <xdr:rowOff>251239</xdr:rowOff>
    </xdr:to>
    <xdr:pic>
      <xdr:nvPicPr>
        <xdr:cNvPr id="8" name="TS-PI-Formul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85293" y="4558863"/>
          <a:ext cx="847417" cy="170703"/>
        </a:xfrm>
        <a:prstGeom prst="rect">
          <a:avLst/>
        </a:prstGeom>
      </xdr:spPr>
    </xdr:pic>
    <xdr:clientData/>
  </xdr:twoCellAnchor>
  <xdr:twoCellAnchor editAs="oneCell">
    <xdr:from>
      <xdr:col>3</xdr:col>
      <xdr:colOff>95250</xdr:colOff>
      <xdr:row>15</xdr:row>
      <xdr:rowOff>9525</xdr:rowOff>
    </xdr:from>
    <xdr:to>
      <xdr:col>5</xdr:col>
      <xdr:colOff>20894</xdr:colOff>
      <xdr:row>16</xdr:row>
      <xdr:rowOff>15240</xdr:rowOff>
    </xdr:to>
    <xdr:pic>
      <xdr:nvPicPr>
        <xdr:cNvPr id="13" name="BYGRAPH-LL-Formul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7850" y="3705225"/>
          <a:ext cx="990600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28575</xdr:colOff>
      <xdr:row>17</xdr:row>
      <xdr:rowOff>0</xdr:rowOff>
    </xdr:from>
    <xdr:to>
      <xdr:col>4</xdr:col>
      <xdr:colOff>474864</xdr:colOff>
      <xdr:row>18</xdr:row>
      <xdr:rowOff>19050</xdr:rowOff>
    </xdr:to>
    <xdr:pic>
      <xdr:nvPicPr>
        <xdr:cNvPr id="15" name="BYGRAPH-PI-Formul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4457700"/>
          <a:ext cx="990600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40821</xdr:colOff>
          <xdr:row>18</xdr:row>
          <xdr:rowOff>17688</xdr:rowOff>
        </xdr:from>
        <xdr:to>
          <xdr:col>13</xdr:col>
          <xdr:colOff>53340</xdr:colOff>
          <xdr:row>29</xdr:row>
          <xdr:rowOff>19322</xdr:rowOff>
        </xdr:to>
        <xdr:pic macro="[0]!chartme">
          <xdr:nvPicPr>
            <xdr:cNvPr id="12" name="4N-Graph" hidden="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Grafik4N!$A$1" spid="_x0000_s4539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40821" y="4894488"/>
              <a:ext cx="6923859" cy="228382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18003</xdr:rowOff>
    </xdr:from>
    <xdr:to>
      <xdr:col>0</xdr:col>
      <xdr:colOff>6561364</xdr:colOff>
      <xdr:row>0</xdr:row>
      <xdr:rowOff>2199228</xdr:rowOff>
    </xdr:to>
    <xdr:graphicFrame macro="[0]!chartme">
      <xdr:nvGraphicFramePr>
        <xdr:cNvPr id="2" name="MKBA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</cdr:x>
      <cdr:y>0.03472</cdr:y>
    </cdr:from>
    <cdr:to>
      <cdr:x>0.65833</cdr:x>
      <cdr:y>0.15625</cdr:y>
    </cdr:to>
    <cdr:sp macro="" textlink="">
      <cdr:nvSpPr>
        <cdr:cNvPr id="2" name="1 Metin kutusu"/>
        <cdr:cNvSpPr txBox="1"/>
      </cdr:nvSpPr>
      <cdr:spPr>
        <a:xfrm xmlns:a="http://schemas.openxmlformats.org/drawingml/2006/main">
          <a:off x="1371600" y="95250"/>
          <a:ext cx="1638300" cy="333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endParaRPr lang="tr-TR"/>
        </a:p>
      </cdr:txBody>
    </cdr:sp>
  </cdr:relSizeAnchor>
  <cdr:relSizeAnchor xmlns:cdr="http://schemas.openxmlformats.org/drawingml/2006/chartDrawing">
    <cdr:from>
      <cdr:x>0.01383</cdr:x>
      <cdr:y>0.15803</cdr:y>
    </cdr:from>
    <cdr:to>
      <cdr:x>0.06719</cdr:x>
      <cdr:y>0.95673</cdr:y>
    </cdr:to>
    <cdr:sp macro="" textlink="">
      <cdr:nvSpPr>
        <cdr:cNvPr id="4" name="3 Metin kutusu"/>
        <cdr:cNvSpPr txBox="1"/>
      </cdr:nvSpPr>
      <cdr:spPr>
        <a:xfrm xmlns:a="http://schemas.openxmlformats.org/drawingml/2006/main">
          <a:off x="80115" y="581024"/>
          <a:ext cx="309017" cy="29365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endParaRPr lang="tr-TR"/>
        </a:p>
      </cdr:txBody>
    </cdr:sp>
  </cdr:relSizeAnchor>
  <cdr:relSizeAnchor xmlns:cdr="http://schemas.openxmlformats.org/drawingml/2006/chartDrawing">
    <cdr:from>
      <cdr:x>0.45396</cdr:x>
      <cdr:y>0.89603</cdr:y>
    </cdr:from>
    <cdr:to>
      <cdr:x>0.5816</cdr:x>
      <cdr:y>0.95853</cdr:y>
    </cdr:to>
    <cdr:sp macro="" textlink="">
      <cdr:nvSpPr>
        <cdr:cNvPr id="9" name="4 Metin kutusu"/>
        <cdr:cNvSpPr txBox="1"/>
      </cdr:nvSpPr>
      <cdr:spPr>
        <a:xfrm xmlns:a="http://schemas.openxmlformats.org/drawingml/2006/main">
          <a:off x="2961918" y="1903235"/>
          <a:ext cx="832803" cy="1327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tr-TR" sz="1100" b="1"/>
            <a:t>Su İçeriği (%)</a:t>
          </a:r>
        </a:p>
      </cdr:txBody>
    </cdr:sp>
  </cdr:relSizeAnchor>
  <cdr:relSizeAnchor xmlns:cdr="http://schemas.openxmlformats.org/drawingml/2006/chartDrawing">
    <cdr:from>
      <cdr:x>0.06365</cdr:x>
      <cdr:y>0.29406</cdr:y>
    </cdr:from>
    <cdr:to>
      <cdr:x>0.09157</cdr:x>
      <cdr:y>0.3814</cdr:y>
    </cdr:to>
    <cdr:sp macro="" textlink="">
      <cdr:nvSpPr>
        <cdr:cNvPr id="5" name="Metin kutusu 4">
          <a:extLst xmlns:a="http://schemas.openxmlformats.org/drawingml/2006/main">
            <a:ext uri="{FF2B5EF4-FFF2-40B4-BE49-F238E27FC236}">
              <a16:creationId xmlns:a16="http://schemas.microsoft.com/office/drawing/2014/main" id="{403C08E4-96BF-49F2-AFA4-3828E9D36EE7}"/>
            </a:ext>
          </a:extLst>
        </cdr:cNvPr>
        <cdr:cNvSpPr txBox="1"/>
      </cdr:nvSpPr>
      <cdr:spPr>
        <a:xfrm xmlns:a="http://schemas.openxmlformats.org/drawingml/2006/main">
          <a:off x="417655" y="641418"/>
          <a:ext cx="183153" cy="1905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r>
            <a:rPr lang="tr-TR" sz="1100"/>
            <a:t>25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21813</xdr:rowOff>
    </xdr:from>
    <xdr:to>
      <xdr:col>0</xdr:col>
      <xdr:colOff>6563269</xdr:colOff>
      <xdr:row>0</xdr:row>
      <xdr:rowOff>2197323</xdr:rowOff>
    </xdr:to>
    <xdr:graphicFrame macro="[0]!chartme">
      <xdr:nvGraphicFramePr>
        <xdr:cNvPr id="2" name="MKBA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</cdr:x>
      <cdr:y>0.03472</cdr:y>
    </cdr:from>
    <cdr:to>
      <cdr:x>0.65833</cdr:x>
      <cdr:y>0.15625</cdr:y>
    </cdr:to>
    <cdr:sp macro="" textlink="">
      <cdr:nvSpPr>
        <cdr:cNvPr id="2" name="1 Metin kutusu"/>
        <cdr:cNvSpPr txBox="1"/>
      </cdr:nvSpPr>
      <cdr:spPr>
        <a:xfrm xmlns:a="http://schemas.openxmlformats.org/drawingml/2006/main">
          <a:off x="1371600" y="95250"/>
          <a:ext cx="1638300" cy="333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endParaRPr lang="tr-TR"/>
        </a:p>
      </cdr:txBody>
    </cdr:sp>
  </cdr:relSizeAnchor>
  <cdr:relSizeAnchor xmlns:cdr="http://schemas.openxmlformats.org/drawingml/2006/chartDrawing">
    <cdr:from>
      <cdr:x>0.01383</cdr:x>
      <cdr:y>0.15803</cdr:y>
    </cdr:from>
    <cdr:to>
      <cdr:x>0.06719</cdr:x>
      <cdr:y>0.95673</cdr:y>
    </cdr:to>
    <cdr:sp macro="" textlink="">
      <cdr:nvSpPr>
        <cdr:cNvPr id="4" name="3 Metin kutusu"/>
        <cdr:cNvSpPr txBox="1"/>
      </cdr:nvSpPr>
      <cdr:spPr>
        <a:xfrm xmlns:a="http://schemas.openxmlformats.org/drawingml/2006/main">
          <a:off x="80115" y="581024"/>
          <a:ext cx="309017" cy="29365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endParaRPr lang="tr-TR"/>
        </a:p>
      </cdr:txBody>
    </cdr:sp>
  </cdr:relSizeAnchor>
  <cdr:relSizeAnchor xmlns:cdr="http://schemas.openxmlformats.org/drawingml/2006/chartDrawing">
    <cdr:from>
      <cdr:x>0.45396</cdr:x>
      <cdr:y>0.89603</cdr:y>
    </cdr:from>
    <cdr:to>
      <cdr:x>0.5816</cdr:x>
      <cdr:y>0.95853</cdr:y>
    </cdr:to>
    <cdr:sp macro="" textlink="">
      <cdr:nvSpPr>
        <cdr:cNvPr id="9" name="4 Metin kutusu"/>
        <cdr:cNvSpPr txBox="1"/>
      </cdr:nvSpPr>
      <cdr:spPr>
        <a:xfrm xmlns:a="http://schemas.openxmlformats.org/drawingml/2006/main">
          <a:off x="2961918" y="1903235"/>
          <a:ext cx="832803" cy="1327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tr-TR" sz="1100" b="1"/>
            <a:t>Su İçeriği (%)</a:t>
          </a:r>
        </a:p>
      </cdr:txBody>
    </cdr:sp>
  </cdr:relSizeAnchor>
  <cdr:relSizeAnchor xmlns:cdr="http://schemas.openxmlformats.org/drawingml/2006/chartDrawing">
    <cdr:from>
      <cdr:x>0.06365</cdr:x>
      <cdr:y>0.29406</cdr:y>
    </cdr:from>
    <cdr:to>
      <cdr:x>0.09157</cdr:x>
      <cdr:y>0.3814</cdr:y>
    </cdr:to>
    <cdr:sp macro="" textlink="">
      <cdr:nvSpPr>
        <cdr:cNvPr id="5" name="Metin kutusu 4">
          <a:extLst xmlns:a="http://schemas.openxmlformats.org/drawingml/2006/main">
            <a:ext uri="{FF2B5EF4-FFF2-40B4-BE49-F238E27FC236}">
              <a16:creationId xmlns:a16="http://schemas.microsoft.com/office/drawing/2014/main" id="{403C08E4-96BF-49F2-AFA4-3828E9D36EE7}"/>
            </a:ext>
          </a:extLst>
        </cdr:cNvPr>
        <cdr:cNvSpPr txBox="1"/>
      </cdr:nvSpPr>
      <cdr:spPr>
        <a:xfrm xmlns:a="http://schemas.openxmlformats.org/drawingml/2006/main">
          <a:off x="417655" y="641418"/>
          <a:ext cx="183153" cy="1905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r>
            <a:rPr lang="tr-TR" sz="1100"/>
            <a:t>25</a:t>
          </a:r>
        </a:p>
      </cdr:txBody>
    </cdr:sp>
  </cdr:relSizeAnchor>
</c:userShape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tabColor theme="1" tint="0.499984740745262"/>
  </sheetPr>
  <dimension ref="A1:R34"/>
  <sheetViews>
    <sheetView showGridLines="0" tabSelected="1" showWhiteSpace="0" topLeftCell="A10" zoomScale="115" zoomScaleNormal="115" zoomScaleSheetLayoutView="100" workbookViewId="0">
      <selection activeCell="G13" sqref="G13:H13"/>
    </sheetView>
  </sheetViews>
  <sheetFormatPr defaultColWidth="9.109375" defaultRowHeight="14.4" x14ac:dyDescent="0.3"/>
  <cols>
    <col min="1" max="1" width="9" style="2" customWidth="1"/>
    <col min="2" max="2" width="9.88671875" style="2" customWidth="1"/>
    <col min="3" max="4" width="8.109375" style="3" customWidth="1"/>
    <col min="5" max="12" width="8.109375" style="2" customWidth="1"/>
    <col min="13" max="13" width="1.44140625" style="2" customWidth="1"/>
    <col min="14" max="14" width="24.5546875" style="2" customWidth="1"/>
    <col min="15" max="17" width="12.33203125" style="2" customWidth="1"/>
    <col min="18" max="18" width="14.6640625" style="2" bestFit="1" customWidth="1"/>
    <col min="19" max="16384" width="9.109375" style="2"/>
  </cols>
  <sheetData>
    <row r="1" spans="1:18" s="1" customFormat="1" ht="14.25" customHeight="1" x14ac:dyDescent="0.3">
      <c r="A1" s="11"/>
      <c r="B1" s="81" t="s">
        <v>31</v>
      </c>
      <c r="C1" s="81"/>
      <c r="D1" s="81"/>
      <c r="E1" s="81"/>
      <c r="F1" s="81"/>
      <c r="G1" s="82"/>
      <c r="H1" s="60" t="s">
        <v>26</v>
      </c>
      <c r="I1" s="61"/>
      <c r="J1" s="87" t="s">
        <v>30</v>
      </c>
      <c r="K1" s="87"/>
      <c r="L1" s="87"/>
      <c r="M1" s="4"/>
    </row>
    <row r="2" spans="1:18" s="1" customFormat="1" ht="14.25" customHeight="1" x14ac:dyDescent="0.3">
      <c r="A2" s="12"/>
      <c r="B2" s="83"/>
      <c r="C2" s="83"/>
      <c r="D2" s="83"/>
      <c r="E2" s="83"/>
      <c r="F2" s="83"/>
      <c r="G2" s="84"/>
      <c r="H2" s="60" t="s">
        <v>27</v>
      </c>
      <c r="I2" s="61"/>
      <c r="J2" s="88">
        <v>43502</v>
      </c>
      <c r="K2" s="88"/>
      <c r="L2" s="88"/>
      <c r="M2" s="4"/>
    </row>
    <row r="3" spans="1:18" s="1" customFormat="1" ht="14.25" customHeight="1" x14ac:dyDescent="0.3">
      <c r="A3" s="12"/>
      <c r="B3" s="83"/>
      <c r="C3" s="83"/>
      <c r="D3" s="83"/>
      <c r="E3" s="83"/>
      <c r="F3" s="83"/>
      <c r="G3" s="84"/>
      <c r="H3" s="60" t="s">
        <v>28</v>
      </c>
      <c r="I3" s="61"/>
      <c r="J3" s="89">
        <v>4</v>
      </c>
      <c r="K3" s="89"/>
      <c r="L3" s="89"/>
      <c r="M3" s="4"/>
    </row>
    <row r="4" spans="1:18" s="1" customFormat="1" ht="14.25" customHeight="1" x14ac:dyDescent="0.3">
      <c r="A4" s="13"/>
      <c r="B4" s="85"/>
      <c r="C4" s="85"/>
      <c r="D4" s="85"/>
      <c r="E4" s="85"/>
      <c r="F4" s="85"/>
      <c r="G4" s="86"/>
      <c r="H4" s="60" t="s">
        <v>29</v>
      </c>
      <c r="I4" s="61"/>
      <c r="J4" s="90">
        <v>44502</v>
      </c>
      <c r="K4" s="89"/>
      <c r="L4" s="89"/>
      <c r="M4" s="4"/>
    </row>
    <row r="5" spans="1:18" s="1" customFormat="1" ht="18" x14ac:dyDescent="0.3">
      <c r="A5" s="51" t="s">
        <v>73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2"/>
      <c r="M5" s="45"/>
    </row>
    <row r="6" spans="1:18" s="1" customFormat="1" ht="12.9" customHeight="1" x14ac:dyDescent="0.3">
      <c r="A6" s="80" t="s">
        <v>59</v>
      </c>
      <c r="B6" s="80"/>
      <c r="C6" s="80" t="s">
        <v>58</v>
      </c>
      <c r="D6" s="80"/>
      <c r="E6" s="80"/>
      <c r="F6" s="80"/>
      <c r="G6" s="80" t="s">
        <v>0</v>
      </c>
      <c r="H6" s="80"/>
      <c r="I6" s="118" t="s">
        <v>6</v>
      </c>
      <c r="J6" s="126"/>
      <c r="K6" s="126"/>
      <c r="L6" s="119"/>
      <c r="M6" s="5"/>
    </row>
    <row r="7" spans="1:18" s="1" customFormat="1" ht="30" customHeight="1" x14ac:dyDescent="0.3">
      <c r="A7" s="111"/>
      <c r="B7" s="112"/>
      <c r="C7" s="113"/>
      <c r="D7" s="114"/>
      <c r="E7" s="114"/>
      <c r="F7" s="115"/>
      <c r="G7" s="93" t="str">
        <f>IF(Q31=1,Listeler!A1,"")&amp;IF(Q31=2,Listeler!A2,"")&amp;IF(Q31=3,Listeler!A3,"")&amp;IF(Q31=4,Listeler!A4,"")</f>
        <v>Odada Kurutulmuş</v>
      </c>
      <c r="H7" s="94"/>
      <c r="I7" s="127"/>
      <c r="J7" s="128"/>
      <c r="K7" s="128"/>
      <c r="L7" s="129"/>
      <c r="M7" s="5"/>
    </row>
    <row r="8" spans="1:18" ht="12.75" customHeight="1" x14ac:dyDescent="0.3">
      <c r="A8" s="80" t="s">
        <v>55</v>
      </c>
      <c r="B8" s="80"/>
      <c r="C8" s="80" t="s">
        <v>56</v>
      </c>
      <c r="D8" s="80"/>
      <c r="E8" s="80"/>
      <c r="F8" s="80"/>
      <c r="G8" s="80" t="s">
        <v>57</v>
      </c>
      <c r="H8" s="80"/>
      <c r="I8" s="118" t="s">
        <v>60</v>
      </c>
      <c r="J8" s="119"/>
      <c r="K8" s="120" t="s">
        <v>61</v>
      </c>
      <c r="L8" s="121"/>
    </row>
    <row r="9" spans="1:18" ht="28.5" customHeight="1" x14ac:dyDescent="0.3">
      <c r="A9" s="50"/>
      <c r="B9" s="50"/>
      <c r="C9" s="122"/>
      <c r="D9" s="122"/>
      <c r="E9" s="122"/>
      <c r="F9" s="122"/>
      <c r="G9" s="116"/>
      <c r="H9" s="117"/>
      <c r="I9" s="130"/>
      <c r="J9" s="131"/>
      <c r="K9" s="130"/>
      <c r="L9" s="131"/>
    </row>
    <row r="10" spans="1:18" s="1" customFormat="1" ht="30" customHeight="1" x14ac:dyDescent="0.3">
      <c r="A10" s="51" t="s">
        <v>66</v>
      </c>
      <c r="B10" s="52"/>
      <c r="C10" s="91" t="str">
        <f>IF(O31=1,Listeler!B1,Listeler!B2)</f>
        <v>TS EN ISO 17892-12, Cassagrande, Dört Nokta</v>
      </c>
      <c r="D10" s="91"/>
      <c r="E10" s="91"/>
      <c r="F10" s="91"/>
      <c r="G10" s="91"/>
      <c r="H10" s="91"/>
      <c r="I10" s="91"/>
      <c r="J10" s="91"/>
      <c r="K10" s="91"/>
      <c r="L10" s="92"/>
      <c r="M10" s="5"/>
    </row>
    <row r="11" spans="1:18" s="1" customFormat="1" ht="30" customHeight="1" x14ac:dyDescent="0.3">
      <c r="A11" s="53" t="s">
        <v>7</v>
      </c>
      <c r="B11" s="54"/>
      <c r="C11" s="50" t="s">
        <v>1</v>
      </c>
      <c r="D11" s="50"/>
      <c r="E11" s="50" t="s">
        <v>2</v>
      </c>
      <c r="F11" s="50"/>
      <c r="G11" s="56" t="s">
        <v>3</v>
      </c>
      <c r="H11" s="50"/>
      <c r="I11" s="141" t="s">
        <v>78</v>
      </c>
      <c r="J11" s="50"/>
      <c r="K11" s="48" t="s">
        <v>4</v>
      </c>
      <c r="L11" s="46" t="s">
        <v>5</v>
      </c>
      <c r="M11" s="9"/>
    </row>
    <row r="12" spans="1:18" s="1" customFormat="1" ht="30" customHeight="1" x14ac:dyDescent="0.3">
      <c r="A12" s="51" t="s">
        <v>12</v>
      </c>
      <c r="B12" s="55"/>
      <c r="C12" s="78">
        <v>20</v>
      </c>
      <c r="D12" s="59"/>
      <c r="E12" s="78">
        <v>26</v>
      </c>
      <c r="F12" s="59"/>
      <c r="G12" s="58">
        <v>30</v>
      </c>
      <c r="H12" s="59"/>
      <c r="I12" s="142">
        <v>35</v>
      </c>
      <c r="J12" s="59"/>
      <c r="K12" s="47"/>
      <c r="L12" s="49"/>
      <c r="M12" s="9"/>
      <c r="O12" s="139"/>
      <c r="P12" s="139"/>
      <c r="Q12" s="20"/>
      <c r="R12" s="2"/>
    </row>
    <row r="13" spans="1:18" s="1" customFormat="1" ht="30" customHeight="1" x14ac:dyDescent="0.3">
      <c r="A13" s="51" t="s">
        <v>44</v>
      </c>
      <c r="B13" s="55"/>
      <c r="C13" s="62">
        <v>48</v>
      </c>
      <c r="D13" s="62"/>
      <c r="E13" s="62">
        <v>49</v>
      </c>
      <c r="F13" s="62"/>
      <c r="G13" s="76">
        <v>50</v>
      </c>
      <c r="H13" s="77"/>
      <c r="I13" s="143">
        <v>51</v>
      </c>
      <c r="J13" s="62"/>
      <c r="K13" s="144">
        <v>19</v>
      </c>
      <c r="L13" s="145">
        <v>19</v>
      </c>
      <c r="M13" s="9"/>
    </row>
    <row r="14" spans="1:18" ht="4.5" customHeight="1" x14ac:dyDescent="0.3">
      <c r="A14" s="6"/>
      <c r="B14" s="6"/>
      <c r="C14" s="7"/>
      <c r="D14" s="7"/>
      <c r="E14" s="7"/>
      <c r="F14" s="7"/>
      <c r="G14" s="7"/>
      <c r="H14" s="7"/>
      <c r="I14" s="7"/>
      <c r="J14" s="7"/>
      <c r="K14" s="8"/>
      <c r="L14" s="8"/>
      <c r="M14" s="9"/>
    </row>
    <row r="15" spans="1:18" s="1" customFormat="1" ht="14.25" customHeight="1" x14ac:dyDescent="0.3">
      <c r="A15" s="51" t="s">
        <v>20</v>
      </c>
      <c r="B15" s="52"/>
      <c r="C15" s="65" t="s">
        <v>21</v>
      </c>
      <c r="D15" s="66"/>
      <c r="E15" s="66"/>
      <c r="F15" s="67"/>
      <c r="G15" s="57" t="s">
        <v>22</v>
      </c>
      <c r="H15" s="57"/>
      <c r="I15" s="79" t="s">
        <v>17</v>
      </c>
      <c r="J15" s="79"/>
      <c r="K15" s="79"/>
      <c r="L15" s="79"/>
      <c r="M15" s="9"/>
      <c r="N15" s="136" t="s">
        <v>69</v>
      </c>
      <c r="O15" s="137">
        <f>ROUND(((water1+water2)/2)*((((vurus1+vurus2)/2)/25)^0.121),Q15)</f>
        <v>48</v>
      </c>
      <c r="P15" s="137"/>
      <c r="Q15" s="138">
        <v>0</v>
      </c>
    </row>
    <row r="16" spans="1:18" s="1" customFormat="1" ht="30" customHeight="1" x14ac:dyDescent="0.3">
      <c r="A16" s="51" t="s">
        <v>70</v>
      </c>
      <c r="B16" s="52"/>
      <c r="C16" s="68"/>
      <c r="D16" s="69"/>
      <c r="E16" s="69"/>
      <c r="F16" s="69"/>
      <c r="G16" s="17">
        <f>IF(AND(water1="",water2=""),"NP",ROUNDUP(IF(metot=1,korelasyon_hesap,logaritmik_hesap),0))</f>
        <v>49</v>
      </c>
      <c r="H16" s="16" t="str">
        <f>IF(likitlimit="NP","","± "&amp;LLOB&amp;" ***")</f>
        <v>± 1 ***</v>
      </c>
      <c r="I16" s="72" t="str">
        <f>IF(O31=1,Listeler!D1,"")&amp;IF(O31=2,Listeler!D1,"")&amp;IF(O31=3,Listeler!D2,"")</f>
        <v>AASHTO T89-A</v>
      </c>
      <c r="J16" s="104"/>
      <c r="K16" s="104"/>
      <c r="L16" s="104"/>
      <c r="M16" s="9"/>
      <c r="N16" s="136"/>
      <c r="O16" s="137"/>
      <c r="P16" s="137"/>
      <c r="Q16" s="138"/>
      <c r="R16" s="32"/>
    </row>
    <row r="17" spans="1:18" s="1" customFormat="1" ht="30" customHeight="1" x14ac:dyDescent="0.3">
      <c r="A17" s="51" t="s">
        <v>71</v>
      </c>
      <c r="B17" s="52"/>
      <c r="C17" s="70" t="s">
        <v>25</v>
      </c>
      <c r="D17" s="71"/>
      <c r="E17" s="71"/>
      <c r="F17" s="72"/>
      <c r="G17" s="17">
        <f>IF(OR(AND(water5="",water6=""),likitlimit="NP"),"NP",ROUNDUP(AVERAGE(water5,water6),0))</f>
        <v>19</v>
      </c>
      <c r="H17" s="16" t="str">
        <f>IF(plastiklimit="NP","","± "&amp;PLOB&amp;" ***")</f>
        <v>± 1 ***</v>
      </c>
      <c r="I17" s="105" t="str">
        <f>IF(O31=1,Listeler!E1,"")&amp;IF(O31=2,Listeler!E1,"")&amp;IF(O31=3,Listeler!E2,"")</f>
        <v xml:space="preserve"> AASHTO T90</v>
      </c>
      <c r="J17" s="106"/>
      <c r="K17" s="106"/>
      <c r="L17" s="107"/>
      <c r="M17" s="9"/>
      <c r="N17" s="123" t="s">
        <v>80</v>
      </c>
      <c r="O17" s="123"/>
      <c r="P17" s="123"/>
      <c r="Q17" s="123"/>
    </row>
    <row r="18" spans="1:18" s="1" customFormat="1" ht="30" customHeight="1" x14ac:dyDescent="0.3">
      <c r="A18" s="63" t="s">
        <v>72</v>
      </c>
      <c r="B18" s="64"/>
      <c r="C18" s="73"/>
      <c r="D18" s="74"/>
      <c r="E18" s="74"/>
      <c r="F18" s="75"/>
      <c r="G18" s="41">
        <f>IF(OR(likitlimit="NP",plastiklimit="NP"),"NP",likitlimit-plastiklimit)</f>
        <v>30</v>
      </c>
      <c r="H18" s="40"/>
      <c r="I18" s="108"/>
      <c r="J18" s="109"/>
      <c r="K18" s="109"/>
      <c r="L18" s="110"/>
      <c r="M18" s="9"/>
      <c r="N18" s="123"/>
      <c r="O18" s="123"/>
      <c r="P18" s="123"/>
      <c r="Q18" s="123"/>
    </row>
    <row r="19" spans="1:18" s="1" customFormat="1" x14ac:dyDescent="0.3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5"/>
      <c r="M19" s="9"/>
      <c r="N19" s="140" t="s">
        <v>45</v>
      </c>
      <c r="O19" s="140"/>
      <c r="P19" s="140"/>
      <c r="Q19" s="140"/>
      <c r="R19" s="14"/>
    </row>
    <row r="20" spans="1:18" s="1" customFormat="1" x14ac:dyDescent="0.3">
      <c r="A20" s="26"/>
      <c r="B20" s="135"/>
      <c r="C20" s="135"/>
      <c r="D20" s="135"/>
      <c r="E20" s="135"/>
      <c r="F20" s="135"/>
      <c r="G20" s="135"/>
      <c r="H20" s="135"/>
      <c r="I20" s="135"/>
      <c r="J20" s="135"/>
      <c r="K20" s="135"/>
      <c r="L20" s="27"/>
      <c r="M20" s="9"/>
      <c r="N20" s="35" t="s">
        <v>36</v>
      </c>
      <c r="O20" s="36" t="s">
        <v>34</v>
      </c>
      <c r="P20" s="36" t="s">
        <v>35</v>
      </c>
      <c r="Q20" s="36" t="s">
        <v>43</v>
      </c>
      <c r="R20" s="15"/>
    </row>
    <row r="21" spans="1:18" s="1" customFormat="1" x14ac:dyDescent="0.3">
      <c r="A21" s="26"/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27"/>
      <c r="M21" s="9"/>
      <c r="N21" s="35" t="s">
        <v>9</v>
      </c>
      <c r="O21" s="37">
        <f>water1</f>
        <v>48</v>
      </c>
      <c r="P21" s="38">
        <f>vurus1</f>
        <v>20</v>
      </c>
      <c r="Q21" s="38">
        <f>IF($O$31=2,$Q$26*EXP($Q$27*O21),0)</f>
        <v>0</v>
      </c>
      <c r="R21" s="14"/>
    </row>
    <row r="22" spans="1:18" s="1" customFormat="1" x14ac:dyDescent="0.3">
      <c r="A22" s="26"/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27"/>
      <c r="M22" s="9"/>
      <c r="N22" s="35" t="s">
        <v>10</v>
      </c>
      <c r="O22" s="37">
        <f>water2</f>
        <v>49</v>
      </c>
      <c r="P22" s="38">
        <f>vurus2</f>
        <v>26</v>
      </c>
      <c r="Q22" s="38">
        <f>IF($O$31=2,$Q$26*EXP($Q$27*O22),0)</f>
        <v>0</v>
      </c>
      <c r="R22" s="14"/>
    </row>
    <row r="23" spans="1:18" s="1" customFormat="1" x14ac:dyDescent="0.3">
      <c r="A23" s="26"/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27"/>
      <c r="M23" s="9"/>
      <c r="N23" s="35" t="s">
        <v>11</v>
      </c>
      <c r="O23" s="37">
        <f>water3</f>
        <v>50</v>
      </c>
      <c r="P23" s="38">
        <f>vurus3</f>
        <v>30</v>
      </c>
      <c r="Q23" s="38">
        <f>IF($O$31=2,$Q$26*EXP($Q$27*O23),0)</f>
        <v>0</v>
      </c>
    </row>
    <row r="24" spans="1:18" s="1" customFormat="1" x14ac:dyDescent="0.3">
      <c r="A24" s="26"/>
      <c r="B24" s="135"/>
      <c r="C24" s="135"/>
      <c r="D24" s="135"/>
      <c r="E24" s="135"/>
      <c r="F24" s="135"/>
      <c r="G24" s="135"/>
      <c r="H24" s="135"/>
      <c r="I24" s="135"/>
      <c r="J24" s="135"/>
      <c r="K24" s="135"/>
      <c r="L24" s="27"/>
      <c r="M24" s="9"/>
      <c r="N24" s="35" t="s">
        <v>79</v>
      </c>
      <c r="O24" s="37" t="str">
        <f>IF(metot=2,water4,"")</f>
        <v/>
      </c>
      <c r="P24" s="38" t="str">
        <f>IF(metot=2,vurus4,"")</f>
        <v/>
      </c>
      <c r="Q24" s="38" t="str">
        <f>IF(metot=2,IF($O$31=2,$Q$26*EXP($Q$27*O24),0),"")</f>
        <v/>
      </c>
    </row>
    <row r="25" spans="1:18" s="1" customFormat="1" ht="14.4" customHeight="1" x14ac:dyDescent="0.3">
      <c r="A25" s="26"/>
      <c r="B25" s="135"/>
      <c r="C25" s="135"/>
      <c r="D25" s="135"/>
      <c r="E25" s="135"/>
      <c r="F25" s="135"/>
      <c r="G25" s="135"/>
      <c r="H25" s="135"/>
      <c r="I25" s="135"/>
      <c r="J25" s="135"/>
      <c r="K25" s="135"/>
      <c r="L25" s="27"/>
      <c r="M25" s="9"/>
      <c r="N25" s="39" t="s">
        <v>33</v>
      </c>
      <c r="O25" s="132" t="s">
        <v>46</v>
      </c>
      <c r="P25" s="133"/>
      <c r="Q25" s="134"/>
    </row>
    <row r="26" spans="1:18" s="1" customFormat="1" ht="14.4" customHeight="1" x14ac:dyDescent="0.3">
      <c r="A26" s="26"/>
      <c r="B26" s="135"/>
      <c r="C26" s="135"/>
      <c r="D26" s="135"/>
      <c r="E26" s="135"/>
      <c r="F26" s="135"/>
      <c r="G26" s="135"/>
      <c r="H26" s="135"/>
      <c r="I26" s="135"/>
      <c r="J26" s="135"/>
      <c r="K26" s="135"/>
      <c r="L26" s="27"/>
      <c r="M26" s="9"/>
      <c r="N26" s="35" t="s">
        <v>48</v>
      </c>
      <c r="O26" s="124" t="s">
        <v>50</v>
      </c>
      <c r="P26" s="125"/>
      <c r="Q26" s="43" cm="1">
        <f t="array" ref="Q26">IF(metot=2,EXP(INDEX(LINEST(LN(P21:P24),O21:O24),1,2)),EXP(INDEX(LINEST(LN(P21:P23),O21:O23),1,2)))</f>
        <v>1.2119155351455301E-3</v>
      </c>
    </row>
    <row r="27" spans="1:18" s="1" customFormat="1" ht="15" customHeight="1" x14ac:dyDescent="0.3">
      <c r="A27" s="26"/>
      <c r="B27" s="135"/>
      <c r="C27" s="135"/>
      <c r="D27" s="135"/>
      <c r="E27" s="135"/>
      <c r="F27" s="135"/>
      <c r="G27" s="135"/>
      <c r="H27" s="135"/>
      <c r="I27" s="135"/>
      <c r="J27" s="135"/>
      <c r="K27" s="135"/>
      <c r="L27" s="27"/>
      <c r="M27" s="9"/>
      <c r="N27" s="35" t="s">
        <v>49</v>
      </c>
      <c r="O27" s="124" t="s">
        <v>51</v>
      </c>
      <c r="P27" s="125"/>
      <c r="Q27" s="43">
        <f>IF(metot=2,INDEX(LINEST(LN(P21:P24),O21:O24),1),INDEX(LINEST(LN(P21:P23),O21:O23),1))</f>
        <v>0.20273255405408236</v>
      </c>
    </row>
    <row r="28" spans="1:18" s="1" customFormat="1" ht="17.25" customHeight="1" x14ac:dyDescent="0.3">
      <c r="A28" s="26"/>
      <c r="B28" s="135"/>
      <c r="C28" s="135"/>
      <c r="D28" s="135"/>
      <c r="E28" s="135"/>
      <c r="F28" s="135"/>
      <c r="G28" s="135"/>
      <c r="H28" s="135"/>
      <c r="I28" s="135"/>
      <c r="J28" s="135"/>
      <c r="K28" s="135"/>
      <c r="L28" s="27"/>
      <c r="M28" s="9"/>
      <c r="N28" s="35" t="s">
        <v>47</v>
      </c>
      <c r="O28" s="124" t="s">
        <v>52</v>
      </c>
      <c r="P28" s="125"/>
      <c r="Q28" s="44">
        <f>EXP(1)</f>
        <v>2.7182818284590451</v>
      </c>
    </row>
    <row r="29" spans="1:18" s="1" customFormat="1" ht="35.25" customHeight="1" x14ac:dyDescent="0.3">
      <c r="A29" s="28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30"/>
      <c r="M29" s="9"/>
      <c r="N29" s="39" t="s">
        <v>33</v>
      </c>
      <c r="O29" s="36" t="s">
        <v>22</v>
      </c>
      <c r="P29" s="36" t="s">
        <v>67</v>
      </c>
      <c r="Q29" s="36" t="s">
        <v>68</v>
      </c>
    </row>
    <row r="30" spans="1:18" s="1" customFormat="1" ht="30.75" customHeight="1" x14ac:dyDescent="0.3">
      <c r="A30" s="97" t="s">
        <v>32</v>
      </c>
      <c r="B30" s="97"/>
      <c r="C30" s="98" t="s">
        <v>74</v>
      </c>
      <c r="D30" s="98"/>
      <c r="E30" s="98"/>
      <c r="F30" s="98"/>
      <c r="G30" s="98"/>
      <c r="H30" s="98"/>
      <c r="I30" s="98"/>
      <c r="J30" s="98"/>
      <c r="K30" s="98"/>
      <c r="L30" s="99"/>
      <c r="M30" s="4"/>
      <c r="N30" s="34" t="s">
        <v>53</v>
      </c>
      <c r="O30" s="42">
        <f>ROUND(IFERROR(LOG((25/coeff_c),coeff_e)/coeff_b,0),0)</f>
        <v>49</v>
      </c>
      <c r="P30" s="42">
        <f>IF(metot=2,IF(SUM(water1,water2,water3,water4)=0,15,MIN(water1,water2,water3,water4)-1),IF(SUM(water1,water2,water3)=0,15,MIN(water1,water2,water3)-1))</f>
        <v>47</v>
      </c>
      <c r="Q30" s="42">
        <f>IF(metot=2,IF(SUM(water1,water2,water3,water4)=0,15,MAX(water1,water2,water3,water4)+1),IF(SUM(water1,water2,water3)=0,15,MAX(water1,water2,water3)+1))</f>
        <v>51</v>
      </c>
    </row>
    <row r="31" spans="1:18" s="1" customFormat="1" ht="72" customHeight="1" x14ac:dyDescent="0.3">
      <c r="A31" s="18" t="s">
        <v>8</v>
      </c>
      <c r="B31" s="102"/>
      <c r="C31" s="102"/>
      <c r="D31" s="102"/>
      <c r="E31" s="102"/>
      <c r="F31" s="102"/>
      <c r="G31" s="102"/>
      <c r="H31" s="102"/>
      <c r="I31" s="102"/>
      <c r="J31" s="102"/>
      <c r="K31" s="102"/>
      <c r="L31" s="103"/>
      <c r="M31" s="4"/>
      <c r="N31" s="33" t="s">
        <v>17</v>
      </c>
      <c r="O31" s="21">
        <v>3</v>
      </c>
      <c r="P31" s="31" t="s">
        <v>0</v>
      </c>
      <c r="Q31" s="22">
        <v>2</v>
      </c>
    </row>
    <row r="32" spans="1:18" ht="15" customHeight="1" x14ac:dyDescent="0.3">
      <c r="A32" s="19" t="s">
        <v>40</v>
      </c>
      <c r="B32" s="100" t="s">
        <v>41</v>
      </c>
      <c r="C32" s="100"/>
      <c r="D32" s="100"/>
      <c r="E32" s="100"/>
      <c r="F32" s="100"/>
      <c r="G32" s="100"/>
      <c r="H32" s="100"/>
      <c r="I32" s="100"/>
      <c r="J32" s="100"/>
      <c r="K32" s="100"/>
      <c r="L32" s="101"/>
      <c r="N32" s="146" t="s">
        <v>81</v>
      </c>
      <c r="O32" s="147"/>
      <c r="P32" s="147"/>
      <c r="Q32" s="148"/>
    </row>
    <row r="33" spans="1:12" x14ac:dyDescent="0.3">
      <c r="A33" s="95" t="s">
        <v>37</v>
      </c>
      <c r="B33" s="95"/>
      <c r="C33" s="95"/>
      <c r="D33" s="95"/>
      <c r="E33" s="95"/>
      <c r="F33" s="95"/>
      <c r="G33" s="95" t="s">
        <v>38</v>
      </c>
      <c r="H33" s="95"/>
      <c r="I33" s="95"/>
      <c r="J33" s="95"/>
      <c r="K33" s="95"/>
      <c r="L33" s="95"/>
    </row>
    <row r="34" spans="1:12" ht="69.75" customHeight="1" x14ac:dyDescent="0.3">
      <c r="A34" s="96" t="s">
        <v>39</v>
      </c>
      <c r="B34" s="96"/>
      <c r="C34" s="96"/>
      <c r="D34" s="96"/>
      <c r="E34" s="96"/>
      <c r="F34" s="96"/>
      <c r="G34" s="96" t="s">
        <v>39</v>
      </c>
      <c r="H34" s="96"/>
      <c r="I34" s="96"/>
      <c r="J34" s="96"/>
      <c r="K34" s="96"/>
      <c r="L34" s="96"/>
    </row>
  </sheetData>
  <sheetProtection algorithmName="SHA-512" hashValue="1Y0KeosJt8GR9GP6eQ8dniws5jvsgs8ffU3GjkmPnnyWSdbPcYXowzkUvgIn51I3e2UCO9ro3AGHYF2lNUthCw==" saltValue="QKIaru1R6mPDxx5BcgTkzg==" spinCount="100000" sheet="1" formatCells="0"/>
  <mergeCells count="77">
    <mergeCell ref="N32:Q32"/>
    <mergeCell ref="A5:L5"/>
    <mergeCell ref="N17:Q18"/>
    <mergeCell ref="O28:P28"/>
    <mergeCell ref="I6:L6"/>
    <mergeCell ref="I7:L7"/>
    <mergeCell ref="I9:J9"/>
    <mergeCell ref="K9:L9"/>
    <mergeCell ref="O25:Q25"/>
    <mergeCell ref="O26:P26"/>
    <mergeCell ref="O27:P27"/>
    <mergeCell ref="B20:K28"/>
    <mergeCell ref="N15:N16"/>
    <mergeCell ref="O15:P16"/>
    <mergeCell ref="Q15:Q16"/>
    <mergeCell ref="O12:P12"/>
    <mergeCell ref="N19:Q19"/>
    <mergeCell ref="A7:B7"/>
    <mergeCell ref="C7:F7"/>
    <mergeCell ref="G9:H9"/>
    <mergeCell ref="I8:J8"/>
    <mergeCell ref="K8:L8"/>
    <mergeCell ref="A9:B9"/>
    <mergeCell ref="A8:B8"/>
    <mergeCell ref="C9:F9"/>
    <mergeCell ref="I12:J12"/>
    <mergeCell ref="I11:J11"/>
    <mergeCell ref="I16:L16"/>
    <mergeCell ref="I17:L18"/>
    <mergeCell ref="I13:J13"/>
    <mergeCell ref="A33:F33"/>
    <mergeCell ref="G33:L33"/>
    <mergeCell ref="A34:F34"/>
    <mergeCell ref="G34:L34"/>
    <mergeCell ref="A30:B30"/>
    <mergeCell ref="C30:L30"/>
    <mergeCell ref="B32:L32"/>
    <mergeCell ref="B31:L31"/>
    <mergeCell ref="H4:I4"/>
    <mergeCell ref="A6:B6"/>
    <mergeCell ref="B1:G4"/>
    <mergeCell ref="A10:B10"/>
    <mergeCell ref="J1:L1"/>
    <mergeCell ref="J2:L2"/>
    <mergeCell ref="J3:L3"/>
    <mergeCell ref="J4:L4"/>
    <mergeCell ref="H1:I1"/>
    <mergeCell ref="C10:L10"/>
    <mergeCell ref="G7:H7"/>
    <mergeCell ref="G6:H6"/>
    <mergeCell ref="C6:F6"/>
    <mergeCell ref="G8:H8"/>
    <mergeCell ref="C8:F8"/>
    <mergeCell ref="H2:I2"/>
    <mergeCell ref="H3:I3"/>
    <mergeCell ref="C13:D13"/>
    <mergeCell ref="A18:B18"/>
    <mergeCell ref="C15:F15"/>
    <mergeCell ref="C16:F16"/>
    <mergeCell ref="C17:F17"/>
    <mergeCell ref="C18:F18"/>
    <mergeCell ref="E13:F13"/>
    <mergeCell ref="G13:H13"/>
    <mergeCell ref="A13:B13"/>
    <mergeCell ref="A15:B15"/>
    <mergeCell ref="A16:B16"/>
    <mergeCell ref="C11:D11"/>
    <mergeCell ref="C12:D12"/>
    <mergeCell ref="E12:F12"/>
    <mergeCell ref="I15:L15"/>
    <mergeCell ref="E11:F11"/>
    <mergeCell ref="A17:B17"/>
    <mergeCell ref="A11:B11"/>
    <mergeCell ref="A12:B12"/>
    <mergeCell ref="G11:H11"/>
    <mergeCell ref="G15:H15"/>
    <mergeCell ref="G12:H12"/>
  </mergeCells>
  <phoneticPr fontId="25" type="noConversion"/>
  <printOptions horizontalCentered="1"/>
  <pageMargins left="0.25" right="0.25" top="0.75" bottom="0.75" header="0.3" footer="0.3"/>
  <pageSetup paperSize="9" scale="9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9" r:id="rId4" name="Drop Down 33">
              <controlPr defaultSize="0" print="0" autoLine="0" autoPict="0">
                <anchor moveWithCells="1">
                  <from>
                    <xdr:col>6</xdr:col>
                    <xdr:colOff>22860</xdr:colOff>
                    <xdr:row>6</xdr:row>
                    <xdr:rowOff>38100</xdr:rowOff>
                  </from>
                  <to>
                    <xdr:col>7</xdr:col>
                    <xdr:colOff>541020</xdr:colOff>
                    <xdr:row>6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5" name="MetotSec">
              <controlPr defaultSize="0" print="0" autoLine="0" autoPict="0" macro="[0]!comboChange">
                <anchor moveWithCells="1">
                  <from>
                    <xdr:col>2</xdr:col>
                    <xdr:colOff>22860</xdr:colOff>
                    <xdr:row>9</xdr:row>
                    <xdr:rowOff>38100</xdr:rowOff>
                  </from>
                  <to>
                    <xdr:col>11</xdr:col>
                    <xdr:colOff>472440</xdr:colOff>
                    <xdr:row>9</xdr:row>
                    <xdr:rowOff>320040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/>
  <dimension ref="A1:G5"/>
  <sheetViews>
    <sheetView topLeftCell="C1" workbookViewId="0">
      <selection activeCell="D13" sqref="D13:D15"/>
    </sheetView>
  </sheetViews>
  <sheetFormatPr defaultRowHeight="14.4" x14ac:dyDescent="0.3"/>
  <cols>
    <col min="1" max="1" width="17.6640625" bestFit="1" customWidth="1"/>
    <col min="2" max="2" width="53" bestFit="1" customWidth="1"/>
    <col min="3" max="3" width="45.44140625" bestFit="1" customWidth="1"/>
    <col min="4" max="4" width="21.6640625" bestFit="1" customWidth="1"/>
    <col min="5" max="5" width="19.44140625" bestFit="1" customWidth="1"/>
  </cols>
  <sheetData>
    <row r="1" spans="1:7" x14ac:dyDescent="0.3">
      <c r="A1" t="s">
        <v>13</v>
      </c>
      <c r="B1" t="s">
        <v>64</v>
      </c>
      <c r="C1" t="s">
        <v>18</v>
      </c>
      <c r="D1" t="s">
        <v>54</v>
      </c>
      <c r="E1" t="s">
        <v>54</v>
      </c>
      <c r="F1">
        <v>1</v>
      </c>
      <c r="G1" t="s">
        <v>75</v>
      </c>
    </row>
    <row r="2" spans="1:7" x14ac:dyDescent="0.3">
      <c r="A2" t="s">
        <v>15</v>
      </c>
      <c r="B2" t="s">
        <v>77</v>
      </c>
      <c r="C2" s="10" t="s">
        <v>62</v>
      </c>
      <c r="D2" t="s">
        <v>23</v>
      </c>
      <c r="E2" t="s">
        <v>24</v>
      </c>
      <c r="F2">
        <v>1</v>
      </c>
      <c r="G2" t="s">
        <v>76</v>
      </c>
    </row>
    <row r="3" spans="1:7" x14ac:dyDescent="0.3">
      <c r="A3" t="s">
        <v>16</v>
      </c>
      <c r="B3" t="s">
        <v>65</v>
      </c>
      <c r="C3" t="s">
        <v>63</v>
      </c>
    </row>
    <row r="4" spans="1:7" x14ac:dyDescent="0.3">
      <c r="A4" t="s">
        <v>14</v>
      </c>
      <c r="C4" t="s">
        <v>19</v>
      </c>
    </row>
    <row r="5" spans="1:7" x14ac:dyDescent="0.3">
      <c r="C5" t="s">
        <v>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2"/>
  <dimension ref="R1:R26"/>
  <sheetViews>
    <sheetView showGridLines="0" zoomScale="130" zoomScaleNormal="130" workbookViewId="0">
      <selection activeCell="B31" sqref="B31:L31"/>
    </sheetView>
  </sheetViews>
  <sheetFormatPr defaultRowHeight="14.4" x14ac:dyDescent="0.3"/>
  <cols>
    <col min="1" max="1" width="98.5546875" customWidth="1"/>
  </cols>
  <sheetData>
    <row r="1" ht="174" customHeight="1" x14ac:dyDescent="0.3"/>
    <row r="26" spans="18:18" x14ac:dyDescent="0.3">
      <c r="R26">
        <v>20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03C20-6568-42CE-8D1F-DB9CAB721764}">
  <sheetPr codeName="Sayfa4"/>
  <dimension ref="R1:R26"/>
  <sheetViews>
    <sheetView showGridLines="0" zoomScale="130" zoomScaleNormal="130" workbookViewId="0">
      <selection activeCell="B31" sqref="B31:L31"/>
    </sheetView>
  </sheetViews>
  <sheetFormatPr defaultRowHeight="14.4" x14ac:dyDescent="0.3"/>
  <cols>
    <col min="1" max="1" width="98.5546875" customWidth="1"/>
  </cols>
  <sheetData>
    <row r="1" ht="174" customHeight="1" x14ac:dyDescent="0.3"/>
    <row r="26" spans="18:18" x14ac:dyDescent="0.3">
      <c r="R26">
        <v>20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34</vt:i4>
      </vt:variant>
    </vt:vector>
  </HeadingPairs>
  <TitlesOfParts>
    <vt:vector size="38" baseType="lpstr">
      <vt:lpstr>Kivam</vt:lpstr>
      <vt:lpstr>Listeler</vt:lpstr>
      <vt:lpstr>Grafik3N</vt:lpstr>
      <vt:lpstr>Grafik4N</vt:lpstr>
      <vt:lpstr>baslik1</vt:lpstr>
      <vt:lpstr>baslik2</vt:lpstr>
      <vt:lpstr>baslik3</vt:lpstr>
      <vt:lpstr>baslik4</vt:lpstr>
      <vt:lpstr>baslik5</vt:lpstr>
      <vt:lpstr>baslik6</vt:lpstr>
      <vt:lpstr>coeff_b</vt:lpstr>
      <vt:lpstr>coeff_c</vt:lpstr>
      <vt:lpstr>coeff_e</vt:lpstr>
      <vt:lpstr>grafik_altlimit</vt:lpstr>
      <vt:lpstr>grafik_ustlimit</vt:lpstr>
      <vt:lpstr>korelasyon_hesap</vt:lpstr>
      <vt:lpstr>likitlimit</vt:lpstr>
      <vt:lpstr>LLOB</vt:lpstr>
      <vt:lpstr>logaritmik_hesap</vt:lpstr>
      <vt:lpstr>metot</vt:lpstr>
      <vt:lpstr>plastiklimit</vt:lpstr>
      <vt:lpstr>plastisiteindisi</vt:lpstr>
      <vt:lpstr>PLOB</vt:lpstr>
      <vt:lpstr>Kivam!Print_Area</vt:lpstr>
      <vt:lpstr>suicerikleri</vt:lpstr>
      <vt:lpstr>suicerikleri3</vt:lpstr>
      <vt:lpstr>vurus1</vt:lpstr>
      <vt:lpstr>vurus2</vt:lpstr>
      <vt:lpstr>vurus3</vt:lpstr>
      <vt:lpstr>vurus4</vt:lpstr>
      <vt:lpstr>vuruslar</vt:lpstr>
      <vt:lpstr>vuruslar3</vt:lpstr>
      <vt:lpstr>water1</vt:lpstr>
      <vt:lpstr>water2</vt:lpstr>
      <vt:lpstr>water3</vt:lpstr>
      <vt:lpstr>water4</vt:lpstr>
      <vt:lpstr>water5</vt:lpstr>
      <vt:lpstr>water6</vt:lpstr>
    </vt:vector>
  </TitlesOfParts>
  <Company>KGM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Mehmet Durmaz</dc:creator>
  <cp:lastModifiedBy>Mehmet DURMAZ</cp:lastModifiedBy>
  <cp:lastPrinted>2021-11-02T11:40:35Z</cp:lastPrinted>
  <dcterms:created xsi:type="dcterms:W3CDTF">2015-12-17T09:21:07Z</dcterms:created>
  <dcterms:modified xsi:type="dcterms:W3CDTF">2021-11-02T11:51:09Z</dcterms:modified>
</cp:coreProperties>
</file>